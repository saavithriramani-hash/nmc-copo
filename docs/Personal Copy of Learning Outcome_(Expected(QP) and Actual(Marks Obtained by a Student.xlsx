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p Expected Learning Outcome" sheetId="1" r:id="rId5"/>
    <sheet state="visible" name="Learning Outcome-Student" sheetId="2" r:id="rId6"/>
  </sheets>
  <definedNames/>
  <calcPr/>
</workbook>
</file>

<file path=xl/sharedStrings.xml><?xml version="1.0" encoding="utf-8"?>
<sst xmlns="http://schemas.openxmlformats.org/spreadsheetml/2006/main" count="90" uniqueCount="36">
  <si>
    <t xml:space="preserve"> Learning Outcome: (Individual Student)
NEHRU MEMORIAL COLLEGE (AUTONOMOUS), Puthanampatti
Nationally Reaccredited with “A+” Grade 
Learning Outcome 
Under Graduate Degree Examinations- (Month &amp;Year)
Programme  :                           
Course          :
Course Code:   
Date of the Examination: </t>
  </si>
  <si>
    <t xml:space="preserve">Expected Learning Outcome: (Question paper )
NEHRU MEMORIAL COLLEGE (AUTONOMOUS), Puthanampatti
Nationally Reaccredited with “A+” Grade 
Learning Outcome : Question Paper
Under Graduate Degree Examinations- (Month &amp;Year)
Programme  :                           
Course          :
Course Code:   
Date of the Examination: </t>
  </si>
  <si>
    <r>
      <rPr>
        <rFont val="Arial"/>
        <b/>
        <color theme="1"/>
      </rPr>
      <t>Register Number:</t>
    </r>
    <r>
      <rPr>
        <rFont val="Arial"/>
        <color theme="1"/>
      </rPr>
      <t xml:space="preserve">    
</t>
    </r>
  </si>
  <si>
    <t>Name</t>
  </si>
  <si>
    <t xml:space="preserve">Q.No           </t>
  </si>
  <si>
    <t>UNIT                 (CLO)</t>
  </si>
  <si>
    <t>K1                                          Remembering</t>
  </si>
  <si>
    <t>K2 Understanding</t>
  </si>
  <si>
    <t>K3                         Apply</t>
  </si>
  <si>
    <t>K4                       Evaluate</t>
  </si>
  <si>
    <t>K5                        Analyse</t>
  </si>
  <si>
    <t>Total</t>
  </si>
  <si>
    <t>Marks Awarded K1</t>
  </si>
  <si>
    <t>Marks Awarded K2</t>
  </si>
  <si>
    <t>Section A:            1 mark</t>
  </si>
  <si>
    <t>Marks Awarded K3</t>
  </si>
  <si>
    <t>Marks Awarded K4</t>
  </si>
  <si>
    <t>Marks Awarded K5</t>
  </si>
  <si>
    <t>Column 13</t>
  </si>
  <si>
    <t>I</t>
  </si>
  <si>
    <t>II</t>
  </si>
  <si>
    <t>III</t>
  </si>
  <si>
    <t>IV</t>
  </si>
  <si>
    <t>V</t>
  </si>
  <si>
    <t>Total Marks Assigned</t>
  </si>
  <si>
    <t>Section B:           2 Marks</t>
  </si>
  <si>
    <t>Section C:          5 Marks</t>
  </si>
  <si>
    <t>Section D:          10 Marks</t>
  </si>
  <si>
    <t>I or II</t>
  </si>
  <si>
    <t>III or IV</t>
  </si>
  <si>
    <t>V or (I or  II or III or IV or V)</t>
  </si>
  <si>
    <t>Total Marks allotted</t>
  </si>
  <si>
    <t>Expected Learning Outcome(%)</t>
  </si>
  <si>
    <t xml:space="preserve">Total Marks </t>
  </si>
  <si>
    <t>% of Knowledge levels Attained</t>
  </si>
  <si>
    <r>
      <rPr>
        <rFont val="Arial"/>
        <color rgb="FF0000FF"/>
      </rPr>
      <t xml:space="preserve">Attainment level
80-100: 3
   60-79: 2
  40-59: 1
Below 40: 0
</t>
    </r>
    <r>
      <rPr>
        <rFont val="Arial"/>
        <color theme="1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</si>
</sst>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0000FF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4" pivot="0" name="Learning Outcome-Stud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p Expected Learning Outcom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H38" displayName="Table1" name="Table1" id="1">
  <tableColumns count="8">
    <tableColumn name="Q.No           " id="1"/>
    <tableColumn name="UNIT                 (CLO)" id="2"/>
    <tableColumn name="K1                                          Remembering" id="3"/>
    <tableColumn name="K2 Understanding" id="4"/>
    <tableColumn name="K3                         Apply" id="5"/>
    <tableColumn name="K4                       Evaluate" id="6"/>
    <tableColumn name="K5                        Analyse" id="7"/>
    <tableColumn name="Total" id="8"/>
  </tableColumns>
  <tableStyleInfo name="Qp Expected Learning Outcome-style" showColumnStripes="0" showFirstColumn="1" showLastColumn="1" showRowStripes="1"/>
</table>
</file>

<file path=xl/tables/table2.xml><?xml version="1.0" encoding="utf-8"?>
<table xmlns="http://schemas.openxmlformats.org/spreadsheetml/2006/main" ref="A5:M38" displayName="Table1_2" name="Table1_2" id="2">
  <tableColumns count="13">
    <tableColumn name="Q.No           " id="1"/>
    <tableColumn name="UNIT                 (CLO)" id="2"/>
    <tableColumn name="K1                                          Remembering" id="3"/>
    <tableColumn name="Marks Awarded K1" id="4"/>
    <tableColumn name="K2 Understanding" id="5"/>
    <tableColumn name="Marks Awarded K2" id="6"/>
    <tableColumn name="K3                         Apply" id="7"/>
    <tableColumn name="Marks Awarded K3" id="8"/>
    <tableColumn name="K4                       Evaluate" id="9"/>
    <tableColumn name="Marks Awarded K4" id="10"/>
    <tableColumn name="K5                        Analyse" id="11"/>
    <tableColumn name="Marks Awarded K5" id="12"/>
    <tableColumn name="Column 13" id="13"/>
  </tableColumns>
  <tableStyleInfo name="Learning Outcome-Studen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4"/>
      <c r="B2" s="5"/>
      <c r="C2" s="5"/>
      <c r="D2" s="5"/>
      <c r="E2" s="5"/>
      <c r="F2" s="5"/>
      <c r="G2" s="5"/>
      <c r="H2" s="6"/>
      <c r="I2" s="7"/>
      <c r="J2" s="7"/>
      <c r="K2" s="7"/>
      <c r="L2" s="7"/>
    </row>
    <row r="3">
      <c r="A3" s="8"/>
      <c r="B3" s="8"/>
      <c r="C3" s="8"/>
      <c r="D3" s="8"/>
      <c r="E3" s="8"/>
      <c r="F3" s="8"/>
      <c r="G3" s="8"/>
      <c r="H3" s="3"/>
    </row>
    <row r="4">
      <c r="A4" s="4"/>
      <c r="B4" s="5"/>
      <c r="C4" s="5"/>
      <c r="D4" s="5"/>
      <c r="E4" s="5"/>
      <c r="F4" s="5"/>
      <c r="G4" s="5"/>
      <c r="H4" s="5"/>
    </row>
    <row r="5" ht="22.5" customHeight="1">
      <c r="A5" s="10" t="s">
        <v>4</v>
      </c>
      <c r="B5" s="11" t="s">
        <v>5</v>
      </c>
      <c r="C5" s="11" t="s">
        <v>6</v>
      </c>
      <c r="D5" s="11" t="s">
        <v>7</v>
      </c>
      <c r="E5" s="11" t="s">
        <v>8</v>
      </c>
      <c r="F5" s="11" t="s">
        <v>9</v>
      </c>
      <c r="G5" s="11" t="s">
        <v>10</v>
      </c>
      <c r="H5" s="11" t="s">
        <v>11</v>
      </c>
      <c r="K5" s="13"/>
    </row>
    <row r="6" ht="22.5" customHeight="1">
      <c r="A6" s="11" t="s">
        <v>14</v>
      </c>
      <c r="B6" s="14"/>
      <c r="C6" s="14"/>
      <c r="D6" s="14"/>
      <c r="E6" s="14"/>
      <c r="F6" s="14"/>
      <c r="G6" s="14"/>
      <c r="H6" s="14"/>
      <c r="J6" s="8"/>
      <c r="K6" s="15"/>
    </row>
    <row r="7" ht="22.5" customHeight="1">
      <c r="A7" s="16">
        <v>1.0</v>
      </c>
      <c r="B7" s="16" t="s">
        <v>19</v>
      </c>
      <c r="C7" s="16">
        <v>1.0</v>
      </c>
      <c r="D7" s="16"/>
      <c r="E7" s="14"/>
      <c r="F7" s="14"/>
      <c r="G7" s="14"/>
      <c r="H7" s="14">
        <f t="shared" ref="H7:H16" si="1">SUM(C7:G7)</f>
        <v>1</v>
      </c>
    </row>
    <row r="8" ht="22.5" customHeight="1">
      <c r="A8" s="16">
        <f t="shared" ref="A8:A16" si="2">A7+1</f>
        <v>2</v>
      </c>
      <c r="B8" s="16" t="s">
        <v>19</v>
      </c>
      <c r="C8" s="16"/>
      <c r="D8" s="16">
        <v>1.0</v>
      </c>
      <c r="E8" s="14"/>
      <c r="F8" s="14"/>
      <c r="G8" s="14"/>
      <c r="H8" s="14">
        <f t="shared" si="1"/>
        <v>1</v>
      </c>
    </row>
    <row r="9" ht="22.5" customHeight="1">
      <c r="A9" s="16">
        <f t="shared" si="2"/>
        <v>3</v>
      </c>
      <c r="B9" s="16" t="s">
        <v>20</v>
      </c>
      <c r="C9" s="14"/>
      <c r="D9" s="16">
        <v>1.0</v>
      </c>
      <c r="E9" s="14"/>
      <c r="F9" s="14"/>
      <c r="G9" s="14"/>
      <c r="H9" s="14">
        <f t="shared" si="1"/>
        <v>1</v>
      </c>
    </row>
    <row r="10" ht="22.5" customHeight="1">
      <c r="A10" s="16">
        <f t="shared" si="2"/>
        <v>4</v>
      </c>
      <c r="B10" s="16" t="s">
        <v>20</v>
      </c>
      <c r="C10" s="16">
        <v>1.0</v>
      </c>
      <c r="D10" s="14"/>
      <c r="E10" s="14"/>
      <c r="F10" s="14"/>
      <c r="G10" s="14"/>
      <c r="H10" s="14">
        <f t="shared" si="1"/>
        <v>1</v>
      </c>
    </row>
    <row r="11" ht="22.5" customHeight="1">
      <c r="A11" s="16">
        <f t="shared" si="2"/>
        <v>5</v>
      </c>
      <c r="B11" s="16" t="s">
        <v>21</v>
      </c>
      <c r="C11" s="16">
        <v>1.0</v>
      </c>
      <c r="D11" s="14"/>
      <c r="E11" s="14"/>
      <c r="F11" s="14"/>
      <c r="G11" s="14"/>
      <c r="H11" s="14">
        <f t="shared" si="1"/>
        <v>1</v>
      </c>
    </row>
    <row r="12" ht="22.5" customHeight="1">
      <c r="A12" s="16">
        <f t="shared" si="2"/>
        <v>6</v>
      </c>
      <c r="B12" s="16" t="s">
        <v>21</v>
      </c>
      <c r="C12" s="14"/>
      <c r="D12" s="14"/>
      <c r="E12" s="16">
        <v>1.0</v>
      </c>
      <c r="F12" s="14"/>
      <c r="G12" s="14"/>
      <c r="H12" s="14">
        <f t="shared" si="1"/>
        <v>1</v>
      </c>
    </row>
    <row r="13" ht="22.5" customHeight="1">
      <c r="A13" s="16">
        <f t="shared" si="2"/>
        <v>7</v>
      </c>
      <c r="B13" s="16" t="s">
        <v>22</v>
      </c>
      <c r="C13" s="14"/>
      <c r="D13" s="14"/>
      <c r="E13" s="16">
        <v>1.0</v>
      </c>
      <c r="F13" s="14"/>
      <c r="G13" s="14"/>
      <c r="H13" s="14">
        <f t="shared" si="1"/>
        <v>1</v>
      </c>
    </row>
    <row r="14" ht="22.5" customHeight="1">
      <c r="A14" s="16">
        <f t="shared" si="2"/>
        <v>8</v>
      </c>
      <c r="B14" s="16" t="s">
        <v>22</v>
      </c>
      <c r="C14" s="14"/>
      <c r="D14" s="16">
        <v>1.0</v>
      </c>
      <c r="E14" s="14"/>
      <c r="F14" s="14"/>
      <c r="G14" s="14"/>
      <c r="H14" s="14">
        <f t="shared" si="1"/>
        <v>1</v>
      </c>
    </row>
    <row r="15" ht="22.5" customHeight="1">
      <c r="A15" s="16">
        <f t="shared" si="2"/>
        <v>9</v>
      </c>
      <c r="B15" s="16" t="s">
        <v>23</v>
      </c>
      <c r="C15" s="16">
        <v>1.0</v>
      </c>
      <c r="D15" s="14"/>
      <c r="E15" s="14"/>
      <c r="F15" s="14"/>
      <c r="G15" s="14"/>
      <c r="H15" s="14">
        <f t="shared" si="1"/>
        <v>1</v>
      </c>
    </row>
    <row r="16" ht="22.5" customHeight="1">
      <c r="A16" s="16">
        <f t="shared" si="2"/>
        <v>10</v>
      </c>
      <c r="B16" s="16" t="s">
        <v>23</v>
      </c>
      <c r="C16" s="14"/>
      <c r="D16" s="14"/>
      <c r="E16" s="14"/>
      <c r="F16" s="16">
        <v>1.0</v>
      </c>
      <c r="G16" s="14"/>
      <c r="H16" s="14">
        <f t="shared" si="1"/>
        <v>1</v>
      </c>
    </row>
    <row r="17" ht="22.5" customHeight="1">
      <c r="A17" s="11" t="s">
        <v>24</v>
      </c>
      <c r="B17" s="14"/>
      <c r="C17" s="14"/>
      <c r="D17" s="14"/>
      <c r="E17" s="14"/>
      <c r="F17" s="14"/>
      <c r="G17" s="14"/>
      <c r="H17" s="14"/>
    </row>
    <row r="18" ht="22.5" customHeight="1">
      <c r="A18" s="11" t="s">
        <v>25</v>
      </c>
      <c r="B18" s="14"/>
      <c r="C18" s="14"/>
      <c r="D18" s="14"/>
      <c r="E18" s="14"/>
      <c r="F18" s="14"/>
      <c r="G18" s="14"/>
      <c r="H18" s="14"/>
    </row>
    <row r="19" ht="22.5" customHeight="1">
      <c r="A19" s="16">
        <v>11.0</v>
      </c>
      <c r="B19" s="16" t="s">
        <v>19</v>
      </c>
      <c r="C19" s="16"/>
      <c r="D19" s="16">
        <v>2.0</v>
      </c>
      <c r="E19" s="14"/>
      <c r="F19" s="14"/>
      <c r="G19" s="14"/>
      <c r="H19" s="14">
        <f t="shared" ref="H19:H23" si="3">SUM(C19:G19)</f>
        <v>2</v>
      </c>
    </row>
    <row r="20" ht="22.5" customHeight="1">
      <c r="A20" s="14">
        <f t="shared" ref="A20:A23" si="4">A19+1</f>
        <v>12</v>
      </c>
      <c r="B20" s="16" t="s">
        <v>20</v>
      </c>
      <c r="C20" s="14"/>
      <c r="D20" s="16">
        <v>2.0</v>
      </c>
      <c r="E20" s="14"/>
      <c r="F20" s="14"/>
      <c r="G20" s="14"/>
      <c r="H20" s="14">
        <f t="shared" si="3"/>
        <v>2</v>
      </c>
    </row>
    <row r="21" ht="22.5" customHeight="1">
      <c r="A21" s="14">
        <f t="shared" si="4"/>
        <v>13</v>
      </c>
      <c r="B21" s="16" t="s">
        <v>21</v>
      </c>
      <c r="C21" s="14"/>
      <c r="D21" s="16">
        <v>2.0</v>
      </c>
      <c r="E21" s="14"/>
      <c r="F21" s="14"/>
      <c r="G21" s="14"/>
      <c r="H21" s="14">
        <f t="shared" si="3"/>
        <v>2</v>
      </c>
    </row>
    <row r="22" ht="22.5" customHeight="1">
      <c r="A22" s="14">
        <f t="shared" si="4"/>
        <v>14</v>
      </c>
      <c r="B22" s="16" t="s">
        <v>22</v>
      </c>
      <c r="C22" s="16">
        <v>2.0</v>
      </c>
      <c r="D22" s="14"/>
      <c r="E22" s="14"/>
      <c r="F22" s="14"/>
      <c r="G22" s="14"/>
      <c r="H22" s="14">
        <f t="shared" si="3"/>
        <v>2</v>
      </c>
    </row>
    <row r="23" ht="22.5" customHeight="1">
      <c r="A23" s="14">
        <f t="shared" si="4"/>
        <v>15</v>
      </c>
      <c r="B23" s="16" t="s">
        <v>23</v>
      </c>
      <c r="C23" s="14"/>
      <c r="D23" s="14"/>
      <c r="E23" s="16">
        <v>2.0</v>
      </c>
      <c r="F23" s="14"/>
      <c r="G23" s="14"/>
      <c r="H23" s="14">
        <f t="shared" si="3"/>
        <v>2</v>
      </c>
    </row>
    <row r="24" ht="22.5" customHeight="1">
      <c r="A24" s="11" t="s">
        <v>24</v>
      </c>
      <c r="B24" s="14"/>
      <c r="C24" s="14"/>
      <c r="D24" s="14"/>
      <c r="E24" s="14"/>
      <c r="F24" s="14"/>
      <c r="G24" s="14"/>
      <c r="H24" s="14"/>
    </row>
    <row r="25" ht="22.5" customHeight="1">
      <c r="A25" s="11" t="s">
        <v>26</v>
      </c>
      <c r="B25" s="14"/>
      <c r="C25" s="14"/>
      <c r="D25" s="14"/>
      <c r="E25" s="14"/>
      <c r="F25" s="14"/>
      <c r="G25" s="14"/>
      <c r="H25" s="14"/>
    </row>
    <row r="26" ht="22.5" customHeight="1">
      <c r="A26" s="16">
        <v>16.0</v>
      </c>
      <c r="B26" s="16" t="s">
        <v>19</v>
      </c>
      <c r="C26" s="16"/>
      <c r="D26" s="16"/>
      <c r="E26" s="16">
        <v>5.0</v>
      </c>
      <c r="F26" s="14"/>
      <c r="G26" s="14"/>
      <c r="H26" s="14">
        <f t="shared" ref="H26:H30" si="5">SUM(C26:G26)</f>
        <v>5</v>
      </c>
    </row>
    <row r="27" ht="22.5" customHeight="1">
      <c r="A27" s="14">
        <f t="shared" ref="A27:A30" si="6">A26+1</f>
        <v>17</v>
      </c>
      <c r="B27" s="16" t="s">
        <v>20</v>
      </c>
      <c r="C27" s="14"/>
      <c r="D27" s="14"/>
      <c r="E27" s="14"/>
      <c r="F27" s="16">
        <v>5.0</v>
      </c>
      <c r="G27" s="14"/>
      <c r="H27" s="14">
        <f t="shared" si="5"/>
        <v>5</v>
      </c>
    </row>
    <row r="28" ht="22.5" customHeight="1">
      <c r="A28" s="14">
        <f t="shared" si="6"/>
        <v>18</v>
      </c>
      <c r="B28" s="16" t="s">
        <v>21</v>
      </c>
      <c r="C28" s="14"/>
      <c r="D28" s="14"/>
      <c r="E28" s="14"/>
      <c r="F28" s="14"/>
      <c r="G28" s="16">
        <v>5.0</v>
      </c>
      <c r="H28" s="14">
        <f t="shared" si="5"/>
        <v>5</v>
      </c>
    </row>
    <row r="29" ht="22.5" customHeight="1">
      <c r="A29" s="14">
        <f t="shared" si="6"/>
        <v>19</v>
      </c>
      <c r="B29" s="16" t="s">
        <v>22</v>
      </c>
      <c r="C29" s="14"/>
      <c r="D29" s="14"/>
      <c r="E29" s="14"/>
      <c r="F29" s="16">
        <v>5.0</v>
      </c>
      <c r="G29" s="14"/>
      <c r="H29" s="14">
        <f t="shared" si="5"/>
        <v>5</v>
      </c>
    </row>
    <row r="30" ht="22.5" customHeight="1">
      <c r="A30" s="14">
        <f t="shared" si="6"/>
        <v>20</v>
      </c>
      <c r="B30" s="16" t="s">
        <v>23</v>
      </c>
      <c r="C30" s="14"/>
      <c r="D30" s="14"/>
      <c r="E30" s="14"/>
      <c r="F30" s="14"/>
      <c r="G30" s="16">
        <v>5.0</v>
      </c>
      <c r="H30" s="14">
        <f t="shared" si="5"/>
        <v>5</v>
      </c>
    </row>
    <row r="31" ht="22.5" customHeight="1">
      <c r="A31" s="11" t="s">
        <v>24</v>
      </c>
      <c r="B31" s="14"/>
      <c r="C31" s="14"/>
      <c r="D31" s="14"/>
      <c r="E31" s="14"/>
      <c r="F31" s="14"/>
      <c r="G31" s="14"/>
      <c r="H31" s="14"/>
    </row>
    <row r="32" ht="22.5" customHeight="1">
      <c r="A32" s="11" t="s">
        <v>27</v>
      </c>
      <c r="B32" s="14"/>
      <c r="C32" s="14"/>
      <c r="D32" s="14"/>
      <c r="E32" s="14"/>
      <c r="F32" s="14"/>
      <c r="G32" s="14"/>
    </row>
    <row r="33" ht="22.5" customHeight="1">
      <c r="A33" s="16">
        <v>21.0</v>
      </c>
      <c r="B33" s="16" t="s">
        <v>28</v>
      </c>
      <c r="C33" s="14"/>
      <c r="D33" s="14"/>
      <c r="E33" s="14"/>
      <c r="F33" s="16">
        <v>10.0</v>
      </c>
      <c r="G33" s="14"/>
      <c r="H33" s="17">
        <f t="shared" ref="H33:H36" si="7">SUM(C33:G33)</f>
        <v>10</v>
      </c>
    </row>
    <row r="34" ht="22.5" customHeight="1">
      <c r="A34" s="16">
        <v>22.0</v>
      </c>
      <c r="B34" s="16" t="s">
        <v>29</v>
      </c>
      <c r="C34" s="14"/>
      <c r="D34" s="14"/>
      <c r="E34" s="14"/>
      <c r="F34" s="14"/>
      <c r="G34" s="16">
        <v>10.0</v>
      </c>
      <c r="H34" s="17">
        <f t="shared" si="7"/>
        <v>10</v>
      </c>
    </row>
    <row r="35" ht="22.5" customHeight="1">
      <c r="A35" s="16">
        <v>23.0</v>
      </c>
      <c r="B35" s="11" t="s">
        <v>30</v>
      </c>
      <c r="C35" s="14"/>
      <c r="D35" s="14"/>
      <c r="E35" s="14"/>
      <c r="F35" s="14"/>
      <c r="G35" s="16">
        <v>10.0</v>
      </c>
      <c r="H35" s="17">
        <f t="shared" si="7"/>
        <v>10</v>
      </c>
    </row>
    <row r="36" ht="22.5" customHeight="1">
      <c r="A36" s="18" t="s">
        <v>31</v>
      </c>
      <c r="C36" s="17">
        <f t="shared" ref="C36:G36" si="8">SUM(C6:C35)</f>
        <v>6</v>
      </c>
      <c r="D36" s="17">
        <f t="shared" si="8"/>
        <v>9</v>
      </c>
      <c r="E36" s="17">
        <f t="shared" si="8"/>
        <v>9</v>
      </c>
      <c r="F36" s="17">
        <f t="shared" si="8"/>
        <v>21</v>
      </c>
      <c r="G36" s="17">
        <f t="shared" si="8"/>
        <v>30</v>
      </c>
      <c r="H36" s="17">
        <f t="shared" si="7"/>
        <v>75</v>
      </c>
    </row>
    <row r="37" ht="22.5" customHeight="1">
      <c r="A37" s="19" t="s">
        <v>32</v>
      </c>
      <c r="B37" s="20"/>
      <c r="C37" s="20">
        <f t="shared" ref="C37:H37" si="9">(C36/75)*100</f>
        <v>8</v>
      </c>
      <c r="D37" s="20">
        <f t="shared" si="9"/>
        <v>12</v>
      </c>
      <c r="E37" s="20">
        <f t="shared" si="9"/>
        <v>12</v>
      </c>
      <c r="F37" s="20">
        <f t="shared" si="9"/>
        <v>28</v>
      </c>
      <c r="G37" s="20">
        <f t="shared" si="9"/>
        <v>40</v>
      </c>
      <c r="H37" s="20">
        <f t="shared" si="9"/>
        <v>100</v>
      </c>
    </row>
    <row r="38" ht="22.5" customHeight="1"/>
  </sheetData>
  <mergeCells count="1">
    <mergeCell ref="A1:H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 t="s">
        <v>2</v>
      </c>
      <c r="B2" s="5"/>
      <c r="C2" s="5"/>
      <c r="D2" s="5"/>
      <c r="E2" s="9" t="s">
        <v>3</v>
      </c>
      <c r="F2" s="5"/>
      <c r="G2" s="5"/>
      <c r="H2" s="6"/>
      <c r="I2" s="6"/>
      <c r="J2" s="6"/>
      <c r="K2" s="6"/>
      <c r="L2" s="6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8"/>
      <c r="B3" s="8"/>
      <c r="C3" s="8"/>
      <c r="D3" s="8"/>
      <c r="E3" s="8"/>
      <c r="F3" s="8"/>
      <c r="G3" s="8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/>
      <c r="B4" s="5"/>
      <c r="C4" s="5"/>
      <c r="D4" s="5"/>
      <c r="E4" s="5"/>
      <c r="F4" s="5"/>
      <c r="G4" s="5"/>
      <c r="H4" s="5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ht="22.5" customHeight="1">
      <c r="A5" s="10" t="s">
        <v>4</v>
      </c>
      <c r="B5" s="11" t="s">
        <v>5</v>
      </c>
      <c r="C5" s="11" t="s">
        <v>6</v>
      </c>
      <c r="D5" s="12" t="s">
        <v>12</v>
      </c>
      <c r="E5" s="11" t="s">
        <v>7</v>
      </c>
      <c r="F5" s="12" t="s">
        <v>13</v>
      </c>
      <c r="G5" s="11" t="s">
        <v>8</v>
      </c>
      <c r="H5" s="12" t="s">
        <v>15</v>
      </c>
      <c r="I5" s="11" t="s">
        <v>9</v>
      </c>
      <c r="J5" s="12" t="s">
        <v>16</v>
      </c>
      <c r="K5" s="11" t="s">
        <v>10</v>
      </c>
      <c r="L5" s="12" t="s">
        <v>17</v>
      </c>
      <c r="M5" s="11" t="s">
        <v>18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ht="22.5" customHeight="1">
      <c r="A6" s="11" t="s">
        <v>14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ht="22.5" customHeight="1">
      <c r="A7" s="16">
        <v>1.0</v>
      </c>
      <c r="B7" s="16" t="s">
        <v>19</v>
      </c>
      <c r="C7" s="16">
        <v>1.0</v>
      </c>
      <c r="D7" s="16">
        <v>1.0</v>
      </c>
      <c r="E7" s="16"/>
      <c r="F7" s="14"/>
      <c r="G7" s="14"/>
      <c r="H7" s="14"/>
      <c r="I7" s="14"/>
      <c r="J7" s="14"/>
      <c r="K7" s="14"/>
      <c r="L7" s="14"/>
      <c r="M7" s="14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ht="22.5" customHeight="1">
      <c r="A8" s="16">
        <f t="shared" ref="A8:A16" si="1">A7+1</f>
        <v>2</v>
      </c>
      <c r="B8" s="16" t="s">
        <v>19</v>
      </c>
      <c r="C8" s="16"/>
      <c r="D8" s="16"/>
      <c r="E8" s="16">
        <v>1.0</v>
      </c>
      <c r="F8" s="16">
        <v>0.0</v>
      </c>
      <c r="G8" s="14"/>
      <c r="H8" s="14"/>
      <c r="I8" s="14"/>
      <c r="J8" s="14"/>
      <c r="K8" s="14"/>
      <c r="L8" s="14"/>
      <c r="M8" s="14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ht="22.5" customHeight="1">
      <c r="A9" s="16">
        <f t="shared" si="1"/>
        <v>3</v>
      </c>
      <c r="B9" s="16" t="s">
        <v>20</v>
      </c>
      <c r="C9" s="14"/>
      <c r="D9" s="16"/>
      <c r="E9" s="16">
        <v>1.0</v>
      </c>
      <c r="F9" s="16">
        <v>0.0</v>
      </c>
      <c r="G9" s="14"/>
      <c r="H9" s="14"/>
      <c r="I9" s="14"/>
      <c r="J9" s="14"/>
      <c r="K9" s="14"/>
      <c r="L9" s="14"/>
      <c r="M9" s="14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ht="22.5" customHeight="1">
      <c r="A10" s="16">
        <f t="shared" si="1"/>
        <v>4</v>
      </c>
      <c r="B10" s="16" t="s">
        <v>20</v>
      </c>
      <c r="C10" s="16">
        <v>1.0</v>
      </c>
      <c r="D10" s="16">
        <v>0.0</v>
      </c>
      <c r="E10" s="14"/>
      <c r="F10" s="14"/>
      <c r="G10" s="14"/>
      <c r="H10" s="14"/>
      <c r="I10" s="14"/>
      <c r="J10" s="14"/>
      <c r="K10" s="14"/>
      <c r="L10" s="14"/>
      <c r="M10" s="14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ht="22.5" customHeight="1">
      <c r="A11" s="16">
        <f t="shared" si="1"/>
        <v>5</v>
      </c>
      <c r="B11" s="16" t="s">
        <v>21</v>
      </c>
      <c r="C11" s="16">
        <v>1.0</v>
      </c>
      <c r="D11" s="16">
        <v>1.0</v>
      </c>
      <c r="E11" s="14"/>
      <c r="F11" s="14"/>
      <c r="G11" s="14"/>
      <c r="H11" s="14"/>
      <c r="I11" s="14"/>
      <c r="J11" s="14"/>
      <c r="K11" s="14"/>
      <c r="L11" s="14"/>
      <c r="M11" s="1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ht="22.5" customHeight="1">
      <c r="A12" s="16">
        <f t="shared" si="1"/>
        <v>6</v>
      </c>
      <c r="B12" s="16" t="s">
        <v>21</v>
      </c>
      <c r="C12" s="14"/>
      <c r="D12" s="14"/>
      <c r="E12" s="14"/>
      <c r="F12" s="16"/>
      <c r="G12" s="16">
        <v>1.0</v>
      </c>
      <c r="H12" s="16">
        <v>1.0</v>
      </c>
      <c r="I12" s="14"/>
      <c r="J12" s="14"/>
      <c r="K12" s="14"/>
      <c r="L12" s="14"/>
      <c r="M12" s="14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ht="22.5" customHeight="1">
      <c r="A13" s="16">
        <f t="shared" si="1"/>
        <v>7</v>
      </c>
      <c r="B13" s="16" t="s">
        <v>22</v>
      </c>
      <c r="C13" s="14"/>
      <c r="D13" s="14"/>
      <c r="E13" s="14"/>
      <c r="F13" s="16"/>
      <c r="G13" s="16">
        <v>1.0</v>
      </c>
      <c r="H13" s="16">
        <v>1.0</v>
      </c>
      <c r="I13" s="14"/>
      <c r="J13" s="14"/>
      <c r="K13" s="14"/>
      <c r="L13" s="14"/>
      <c r="M13" s="14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ht="22.5" customHeight="1">
      <c r="A14" s="16">
        <f t="shared" si="1"/>
        <v>8</v>
      </c>
      <c r="B14" s="16" t="s">
        <v>22</v>
      </c>
      <c r="C14" s="14"/>
      <c r="D14" s="16"/>
      <c r="E14" s="16">
        <v>1.0</v>
      </c>
      <c r="F14" s="16">
        <v>1.0</v>
      </c>
      <c r="G14" s="14"/>
      <c r="H14" s="14"/>
      <c r="I14" s="14"/>
      <c r="J14" s="14"/>
      <c r="K14" s="14"/>
      <c r="L14" s="14"/>
      <c r="M14" s="14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ht="22.5" customHeight="1">
      <c r="A15" s="16">
        <f t="shared" si="1"/>
        <v>9</v>
      </c>
      <c r="B15" s="16" t="s">
        <v>23</v>
      </c>
      <c r="C15" s="16">
        <v>1.0</v>
      </c>
      <c r="D15" s="16">
        <v>1.0</v>
      </c>
      <c r="E15" s="14"/>
      <c r="F15" s="14"/>
      <c r="G15" s="14"/>
      <c r="H15" s="14"/>
      <c r="I15" s="14"/>
      <c r="J15" s="14"/>
      <c r="K15" s="14"/>
      <c r="L15" s="14"/>
      <c r="M15" s="14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ht="22.5" customHeight="1">
      <c r="A16" s="16">
        <f t="shared" si="1"/>
        <v>10</v>
      </c>
      <c r="B16" s="16" t="s">
        <v>23</v>
      </c>
      <c r="C16" s="14"/>
      <c r="D16" s="14"/>
      <c r="E16" s="14"/>
      <c r="F16" s="14"/>
      <c r="G16" s="14"/>
      <c r="H16" s="16"/>
      <c r="I16" s="16">
        <v>1.0</v>
      </c>
      <c r="J16" s="16">
        <v>0.0</v>
      </c>
      <c r="K16" s="14"/>
      <c r="L16" s="14"/>
      <c r="M16" s="14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ht="22.5" customHeight="1">
      <c r="A17" s="11" t="s">
        <v>24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ht="22.5" customHeight="1">
      <c r="A18" s="11" t="s">
        <v>25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ht="22.5" customHeight="1">
      <c r="A19" s="16">
        <v>11.0</v>
      </c>
      <c r="B19" s="16" t="s">
        <v>19</v>
      </c>
      <c r="C19" s="16"/>
      <c r="D19" s="16"/>
      <c r="E19" s="16">
        <v>2.0</v>
      </c>
      <c r="F19" s="16">
        <v>2.0</v>
      </c>
      <c r="G19" s="14"/>
      <c r="H19" s="14"/>
      <c r="I19" s="14"/>
      <c r="J19" s="14"/>
      <c r="K19" s="14"/>
      <c r="L19" s="14"/>
      <c r="M19" s="14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ht="22.5" customHeight="1">
      <c r="A20" s="14">
        <f t="shared" ref="A20:A23" si="2">A19+1</f>
        <v>12</v>
      </c>
      <c r="B20" s="16" t="s">
        <v>20</v>
      </c>
      <c r="C20" s="14"/>
      <c r="D20" s="16"/>
      <c r="E20" s="16">
        <v>2.0</v>
      </c>
      <c r="F20" s="16">
        <v>1.0</v>
      </c>
      <c r="G20" s="14"/>
      <c r="H20" s="14"/>
      <c r="I20" s="14"/>
      <c r="J20" s="14"/>
      <c r="K20" s="14"/>
      <c r="L20" s="14"/>
      <c r="M20" s="14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ht="22.5" customHeight="1">
      <c r="A21" s="14">
        <f t="shared" si="2"/>
        <v>13</v>
      </c>
      <c r="B21" s="16" t="s">
        <v>21</v>
      </c>
      <c r="C21" s="14"/>
      <c r="D21" s="16"/>
      <c r="E21" s="16">
        <v>2.0</v>
      </c>
      <c r="F21" s="16">
        <v>1.0</v>
      </c>
      <c r="G21" s="14"/>
      <c r="H21" s="14"/>
      <c r="I21" s="14"/>
      <c r="J21" s="14"/>
      <c r="K21" s="14"/>
      <c r="L21" s="14"/>
      <c r="M21" s="14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ht="22.5" customHeight="1">
      <c r="A22" s="14">
        <f t="shared" si="2"/>
        <v>14</v>
      </c>
      <c r="B22" s="16" t="s">
        <v>22</v>
      </c>
      <c r="C22" s="16">
        <v>2.0</v>
      </c>
      <c r="D22" s="16">
        <v>2.0</v>
      </c>
      <c r="E22" s="14"/>
      <c r="F22" s="14"/>
      <c r="G22" s="14"/>
      <c r="H22" s="14"/>
      <c r="I22" s="14"/>
      <c r="J22" s="14"/>
      <c r="K22" s="14"/>
      <c r="L22" s="14"/>
      <c r="M22" s="14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ht="22.5" customHeight="1">
      <c r="A23" s="14">
        <f t="shared" si="2"/>
        <v>15</v>
      </c>
      <c r="B23" s="16" t="s">
        <v>23</v>
      </c>
      <c r="C23" s="14"/>
      <c r="D23" s="14"/>
      <c r="E23" s="14"/>
      <c r="F23" s="16"/>
      <c r="G23" s="16">
        <v>2.0</v>
      </c>
      <c r="H23" s="16">
        <v>1.0</v>
      </c>
      <c r="I23" s="14"/>
      <c r="J23" s="14"/>
      <c r="K23" s="14"/>
      <c r="L23" s="14"/>
      <c r="M23" s="14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ht="22.5" customHeight="1">
      <c r="A24" s="11" t="s">
        <v>24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ht="22.5" customHeight="1">
      <c r="A25" s="11" t="s">
        <v>26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ht="22.5" customHeight="1">
      <c r="A26" s="16">
        <v>16.0</v>
      </c>
      <c r="B26" s="16" t="s">
        <v>19</v>
      </c>
      <c r="C26" s="16"/>
      <c r="D26" s="16"/>
      <c r="E26" s="16"/>
      <c r="F26" s="16"/>
      <c r="G26" s="16">
        <v>5.0</v>
      </c>
      <c r="H26" s="16">
        <v>4.0</v>
      </c>
      <c r="I26" s="14"/>
      <c r="J26" s="14"/>
      <c r="K26" s="14"/>
      <c r="L26" s="14"/>
      <c r="M26" s="14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ht="22.5" customHeight="1">
      <c r="A27" s="14">
        <f t="shared" ref="A27:A30" si="3">A26+1</f>
        <v>17</v>
      </c>
      <c r="B27" s="16" t="s">
        <v>20</v>
      </c>
      <c r="C27" s="14"/>
      <c r="D27" s="14"/>
      <c r="E27" s="14"/>
      <c r="F27" s="14"/>
      <c r="G27" s="14"/>
      <c r="H27" s="16"/>
      <c r="I27" s="16">
        <v>5.0</v>
      </c>
      <c r="J27" s="16">
        <v>3.0</v>
      </c>
      <c r="K27" s="14"/>
      <c r="L27" s="14"/>
      <c r="M27" s="14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ht="22.5" customHeight="1">
      <c r="A28" s="14">
        <f t="shared" si="3"/>
        <v>18</v>
      </c>
      <c r="B28" s="16" t="s">
        <v>21</v>
      </c>
      <c r="C28" s="14"/>
      <c r="D28" s="14"/>
      <c r="E28" s="14"/>
      <c r="F28" s="14"/>
      <c r="G28" s="14"/>
      <c r="H28" s="14"/>
      <c r="I28" s="14"/>
      <c r="J28" s="16"/>
      <c r="K28" s="16">
        <v>5.0</v>
      </c>
      <c r="L28" s="16">
        <v>5.0</v>
      </c>
      <c r="M28" s="14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ht="22.5" customHeight="1">
      <c r="A29" s="14">
        <f t="shared" si="3"/>
        <v>19</v>
      </c>
      <c r="B29" s="16" t="s">
        <v>22</v>
      </c>
      <c r="C29" s="14"/>
      <c r="D29" s="14"/>
      <c r="E29" s="14"/>
      <c r="F29" s="14"/>
      <c r="G29" s="14"/>
      <c r="H29" s="16"/>
      <c r="I29" s="16">
        <v>5.0</v>
      </c>
      <c r="J29" s="16">
        <v>2.0</v>
      </c>
      <c r="K29" s="14"/>
      <c r="L29" s="14"/>
      <c r="M29" s="14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ht="22.5" customHeight="1">
      <c r="A30" s="14">
        <f t="shared" si="3"/>
        <v>20</v>
      </c>
      <c r="B30" s="16" t="s">
        <v>23</v>
      </c>
      <c r="C30" s="14"/>
      <c r="D30" s="14"/>
      <c r="E30" s="14"/>
      <c r="F30" s="14"/>
      <c r="G30" s="14"/>
      <c r="H30" s="14"/>
      <c r="I30" s="14"/>
      <c r="J30" s="16"/>
      <c r="K30" s="16">
        <v>5.0</v>
      </c>
      <c r="L30" s="16">
        <v>1.0</v>
      </c>
      <c r="M30" s="14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ht="22.5" customHeight="1">
      <c r="A31" s="11" t="s">
        <v>24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ht="22.5" customHeight="1">
      <c r="A32" s="11" t="s">
        <v>27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ht="22.5" customHeight="1">
      <c r="A33" s="16">
        <v>21.0</v>
      </c>
      <c r="B33" s="16" t="s">
        <v>28</v>
      </c>
      <c r="C33" s="14"/>
      <c r="D33" s="14"/>
      <c r="E33" s="14"/>
      <c r="F33" s="14"/>
      <c r="G33" s="14"/>
      <c r="H33" s="16"/>
      <c r="I33" s="16">
        <v>10.0</v>
      </c>
      <c r="J33" s="16">
        <v>8.0</v>
      </c>
      <c r="K33" s="14"/>
      <c r="L33" s="14"/>
      <c r="M33" s="14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ht="22.5" customHeight="1">
      <c r="A34" s="16">
        <v>22.0</v>
      </c>
      <c r="B34" s="16" t="s">
        <v>29</v>
      </c>
      <c r="C34" s="14"/>
      <c r="D34" s="14"/>
      <c r="E34" s="14"/>
      <c r="F34" s="14"/>
      <c r="G34" s="14"/>
      <c r="H34" s="14"/>
      <c r="I34" s="14"/>
      <c r="J34" s="16"/>
      <c r="K34" s="16">
        <v>10.0</v>
      </c>
      <c r="L34" s="16">
        <v>10.0</v>
      </c>
      <c r="M34" s="14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ht="22.5" customHeight="1">
      <c r="A35" s="16">
        <v>23.0</v>
      </c>
      <c r="B35" s="11" t="s">
        <v>30</v>
      </c>
      <c r="C35" s="14"/>
      <c r="D35" s="14"/>
      <c r="E35" s="14"/>
      <c r="F35" s="14"/>
      <c r="G35" s="14"/>
      <c r="H35" s="14"/>
      <c r="I35" s="14"/>
      <c r="J35" s="16"/>
      <c r="K35" s="16">
        <v>10.0</v>
      </c>
      <c r="L35" s="16">
        <v>10.0</v>
      </c>
      <c r="M35" s="14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ht="22.5" customHeight="1">
      <c r="A36" s="11" t="s">
        <v>33</v>
      </c>
      <c r="B36" s="14"/>
      <c r="C36" s="14">
        <f t="shared" ref="C36:L36" si="4">SUM(C6:C35)</f>
        <v>6</v>
      </c>
      <c r="D36" s="14">
        <f t="shared" si="4"/>
        <v>5</v>
      </c>
      <c r="E36" s="14">
        <f t="shared" si="4"/>
        <v>9</v>
      </c>
      <c r="F36" s="14">
        <f t="shared" si="4"/>
        <v>5</v>
      </c>
      <c r="G36" s="14">
        <f t="shared" si="4"/>
        <v>9</v>
      </c>
      <c r="H36" s="14">
        <f t="shared" si="4"/>
        <v>7</v>
      </c>
      <c r="I36" s="14">
        <f t="shared" si="4"/>
        <v>21</v>
      </c>
      <c r="J36" s="14">
        <f t="shared" si="4"/>
        <v>13</v>
      </c>
      <c r="K36" s="14">
        <f t="shared" si="4"/>
        <v>30</v>
      </c>
      <c r="L36" s="14">
        <f t="shared" si="4"/>
        <v>26</v>
      </c>
      <c r="M36" s="14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ht="22.5" customHeight="1">
      <c r="A37" s="21" t="s">
        <v>34</v>
      </c>
      <c r="B37" s="22"/>
      <c r="C37" s="22"/>
      <c r="D37" s="22">
        <f>D36/C36*100</f>
        <v>83.33333333</v>
      </c>
      <c r="E37" s="22"/>
      <c r="F37" s="22">
        <f>F36/E36*100</f>
        <v>55.55555556</v>
      </c>
      <c r="G37" s="22"/>
      <c r="H37" s="22">
        <f>H36/G36*100</f>
        <v>77.77777778</v>
      </c>
      <c r="I37" s="22"/>
      <c r="J37" s="22">
        <f>J36/I36*100</f>
        <v>61.9047619</v>
      </c>
      <c r="K37" s="22"/>
      <c r="L37" s="22">
        <f>L36/K36*100</f>
        <v>86.66666667</v>
      </c>
      <c r="M37" s="22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ht="22.5" customHeight="1">
      <c r="A38" s="16" t="s">
        <v>35</v>
      </c>
      <c r="B38" s="14"/>
      <c r="C38" s="14"/>
      <c r="D38" s="14" t="str">
        <f>IF(D37&gt;79,"3",IF(AND(D37&gt;59,D37&lt;80),"2",IF(AND(D37&gt;39,D37&lt;60),"1",IF(D37&lt;40,"0"))))</f>
        <v>3</v>
      </c>
      <c r="E38" s="14"/>
      <c r="F38" s="14" t="str">
        <f>IF(F37&gt;79,"3",IF(AND(F37&gt;59,F37&lt;80),"2",IF(AND(F37&gt;39,F37&lt;60),"1",IF(F37&lt;40,"0"))))</f>
        <v>1</v>
      </c>
      <c r="G38" s="14"/>
      <c r="H38" s="14" t="str">
        <f>IF(H37&gt;79,"3",IF(AND(H37&gt;59,H37&lt;80),"2",IF(AND(H37&gt;39,H37&lt;60),"1",IF(H37&lt;40,"0"))))</f>
        <v>2</v>
      </c>
      <c r="I38" s="14"/>
      <c r="J38" s="14" t="str">
        <f>IF(J37&gt;79,"3",IF(AND(J37&gt;59,J37&lt;80),"2",IF(AND(J37&gt;39,J37&lt;60),"1",IF(J37&lt;40,"0"))))</f>
        <v>2</v>
      </c>
      <c r="K38" s="14"/>
      <c r="L38" s="14" t="str">
        <f>IF(L37&gt;79,"3",IF(AND(L37&gt;59,L37&lt;80),"2",IF(AND(L37&gt;39,L37&lt;60),"1",IF(L37&lt;40,"0"))))</f>
        <v>3</v>
      </c>
      <c r="M38" s="14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1">
    <mergeCell ref="A1:H1"/>
  </mergeCells>
  <drawing r:id="rId1"/>
  <tableParts count="1">
    <tablePart r:id="rId3"/>
  </tableParts>
</worksheet>
</file>