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FinalSem1" sheetId="3" r:id="rId7"/>
    <sheet state="visible" name="Sheet3" sheetId="4" r:id="rId8"/>
    <sheet state="visible" name="Sheet4" sheetId="5" r:id="rId9"/>
    <sheet state="visible" name="Sheet5" sheetId="6" r:id="rId10"/>
    <sheet state="visible" name="FinalSem2" sheetId="7" r:id="rId11"/>
  </sheets>
  <definedNames/>
  <calcPr/>
</workbook>
</file>

<file path=xl/sharedStrings.xml><?xml version="1.0" encoding="utf-8"?>
<sst xmlns="http://schemas.openxmlformats.org/spreadsheetml/2006/main" count="363" uniqueCount="60">
  <si>
    <t xml:space="preserve">                                                                                  </t>
  </si>
  <si>
    <t>Nehru Memorial College, Puthanampatti</t>
  </si>
  <si>
    <t>Department of Mtahematics</t>
  </si>
  <si>
    <t>Department of Mathematics</t>
  </si>
  <si>
    <t>Batch:2023-2026</t>
  </si>
  <si>
    <t xml:space="preserve">Subject: Algebra and Trigonometry </t>
  </si>
  <si>
    <t>Subject: Differential Equation and its Applications</t>
  </si>
  <si>
    <t>S. No.</t>
  </si>
  <si>
    <t>Name</t>
  </si>
  <si>
    <t>Roll Number</t>
  </si>
  <si>
    <t>Interaction with teachers(20)</t>
  </si>
  <si>
    <t>Flipped Learning(20)</t>
  </si>
  <si>
    <t>Seminar(20)</t>
  </si>
  <si>
    <t xml:space="preserve">Interest shown toward self learning
(20)
</t>
  </si>
  <si>
    <t>Interest shown towards self learning
(20)</t>
  </si>
  <si>
    <t>Weightage(20) CIA &amp; Semester</t>
  </si>
  <si>
    <t>PRASANTH R</t>
  </si>
  <si>
    <t>U23MAT001</t>
  </si>
  <si>
    <t>Slow and Advance Learners-Semester 1</t>
  </si>
  <si>
    <t>DEEPA.S</t>
  </si>
  <si>
    <t>U23MAT002</t>
  </si>
  <si>
    <t>Final Score</t>
  </si>
  <si>
    <t>SL &amp; AL</t>
  </si>
  <si>
    <t>ELAVARASI T</t>
  </si>
  <si>
    <t>U23MAT003</t>
  </si>
  <si>
    <t>GOBIKA K</t>
  </si>
  <si>
    <t>U23MAT004</t>
  </si>
  <si>
    <t>GOWRI K</t>
  </si>
  <si>
    <t>U23MAT005</t>
  </si>
  <si>
    <t>JANANI S</t>
  </si>
  <si>
    <t>U23MAT006</t>
  </si>
  <si>
    <t>KALANITHI K</t>
  </si>
  <si>
    <t>U23MAT007</t>
  </si>
  <si>
    <t>KAVIYA S</t>
  </si>
  <si>
    <t>U23MAT008</t>
  </si>
  <si>
    <t>LAKSHAYA S</t>
  </si>
  <si>
    <t>U23MAT009</t>
  </si>
  <si>
    <t xml:space="preserve">Subject: Differential Calculus </t>
  </si>
  <si>
    <t>MADHURA T J</t>
  </si>
  <si>
    <t>U23MAT010</t>
  </si>
  <si>
    <t>AL</t>
  </si>
  <si>
    <t>NAMITHA G</t>
  </si>
  <si>
    <t>U23MAT011</t>
  </si>
  <si>
    <t>SRIMATHI P</t>
  </si>
  <si>
    <t>U23MAT012</t>
  </si>
  <si>
    <t>SUBEDHA M</t>
  </si>
  <si>
    <t>U23MAT013</t>
  </si>
  <si>
    <t>SUSRUTHA M</t>
  </si>
  <si>
    <t>U23MAT014</t>
  </si>
  <si>
    <t>SL</t>
  </si>
  <si>
    <t>USHA A</t>
  </si>
  <si>
    <t>U23MAT015</t>
  </si>
  <si>
    <t>PRIYANGA P</t>
  </si>
  <si>
    <t>U23MAT016</t>
  </si>
  <si>
    <t>DHARSINI R</t>
  </si>
  <si>
    <t>U23MAT017</t>
  </si>
  <si>
    <t xml:space="preserve">Subject: Basic Linear Algebra </t>
  </si>
  <si>
    <t>Subject: Integral Calculus With GeoGebra Lab</t>
  </si>
  <si>
    <t>Slow and Advance Learners-Semester 2</t>
  </si>
  <si>
    <t>SL &amp;AL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</si>
</sst>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&quot;Times New Roman&quot;"/>
    </font>
    <font>
      <sz val="12.0"/>
      <color theme="1"/>
      <name val="SimSu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" t="s">
        <v>0</v>
      </c>
      <c r="C1" s="1" t="s">
        <v>1</v>
      </c>
    </row>
    <row r="2">
      <c r="C2" s="1" t="s">
        <v>2</v>
      </c>
    </row>
    <row r="3">
      <c r="C3" s="1" t="s">
        <v>4</v>
      </c>
    </row>
    <row r="4">
      <c r="C4" s="1" t="s">
        <v>5</v>
      </c>
    </row>
    <row r="5">
      <c r="A5" s="2" t="s">
        <v>7</v>
      </c>
      <c r="B5" s="2" t="s">
        <v>8</v>
      </c>
      <c r="C5" s="2" t="s">
        <v>9</v>
      </c>
      <c r="D5" s="4" t="s">
        <v>10</v>
      </c>
      <c r="E5" s="4" t="s">
        <v>11</v>
      </c>
      <c r="F5" s="7" t="s">
        <v>12</v>
      </c>
      <c r="G5" s="8" t="s">
        <v>13</v>
      </c>
      <c r="H5" s="8" t="s">
        <v>15</v>
      </c>
    </row>
    <row r="6">
      <c r="A6" s="2">
        <v>1.0</v>
      </c>
      <c r="B6" s="10" t="s">
        <v>16</v>
      </c>
      <c r="C6" s="11" t="s">
        <v>17</v>
      </c>
      <c r="D6" s="12">
        <v>18.0</v>
      </c>
      <c r="E6" s="12">
        <v>20.0</v>
      </c>
      <c r="F6" s="12">
        <v>19.0</v>
      </c>
      <c r="G6" s="13">
        <v>19.0</v>
      </c>
      <c r="H6" s="2">
        <v>19.6</v>
      </c>
    </row>
    <row r="7">
      <c r="A7" s="9"/>
      <c r="B7" s="14" t="s">
        <v>19</v>
      </c>
      <c r="C7" s="15" t="s">
        <v>20</v>
      </c>
      <c r="D7" s="12">
        <v>16.0</v>
      </c>
      <c r="E7" s="12">
        <v>18.0</v>
      </c>
      <c r="F7" s="12">
        <v>14.0</v>
      </c>
      <c r="G7" s="13">
        <v>15.0</v>
      </c>
      <c r="H7" s="2">
        <v>14.4</v>
      </c>
    </row>
    <row r="8">
      <c r="A8" s="9"/>
      <c r="B8" s="14" t="s">
        <v>23</v>
      </c>
      <c r="C8" s="15" t="s">
        <v>24</v>
      </c>
      <c r="D8" s="13">
        <v>18.0</v>
      </c>
      <c r="E8" s="13">
        <v>20.0</v>
      </c>
      <c r="F8" s="13">
        <v>19.0</v>
      </c>
      <c r="G8" s="13">
        <v>20.0</v>
      </c>
      <c r="H8" s="2">
        <v>19.8</v>
      </c>
    </row>
    <row r="9">
      <c r="A9" s="9"/>
      <c r="B9" s="14" t="s">
        <v>25</v>
      </c>
      <c r="C9" s="15" t="s">
        <v>26</v>
      </c>
      <c r="D9" s="13">
        <v>16.0</v>
      </c>
      <c r="E9" s="13">
        <v>15.0</v>
      </c>
      <c r="F9" s="13">
        <v>16.0</v>
      </c>
      <c r="G9" s="13">
        <v>14.0</v>
      </c>
      <c r="H9" s="2">
        <v>10.8</v>
      </c>
    </row>
    <row r="10">
      <c r="A10" s="9"/>
      <c r="B10" s="14" t="s">
        <v>27</v>
      </c>
      <c r="C10" s="15" t="s">
        <v>28</v>
      </c>
      <c r="D10" s="13">
        <v>20.0</v>
      </c>
      <c r="E10" s="13">
        <v>20.0</v>
      </c>
      <c r="F10" s="13">
        <v>19.0</v>
      </c>
      <c r="G10" s="13">
        <v>20.0</v>
      </c>
      <c r="H10" s="2">
        <v>15.2</v>
      </c>
    </row>
    <row r="11">
      <c r="A11" s="9"/>
      <c r="B11" s="14" t="s">
        <v>29</v>
      </c>
      <c r="C11" s="15" t="s">
        <v>30</v>
      </c>
      <c r="D11" s="13">
        <v>15.0</v>
      </c>
      <c r="E11" s="13">
        <v>14.0</v>
      </c>
      <c r="F11" s="13">
        <v>15.0</v>
      </c>
      <c r="G11" s="13">
        <v>15.0</v>
      </c>
      <c r="H11" s="2">
        <v>13.8</v>
      </c>
    </row>
    <row r="12">
      <c r="A12" s="9"/>
      <c r="B12" s="14" t="s">
        <v>31</v>
      </c>
      <c r="C12" s="15" t="s">
        <v>32</v>
      </c>
      <c r="D12" s="13">
        <v>20.0</v>
      </c>
      <c r="E12" s="13">
        <v>19.0</v>
      </c>
      <c r="F12" s="13">
        <v>18.0</v>
      </c>
      <c r="G12" s="13">
        <v>17.0</v>
      </c>
      <c r="H12" s="2">
        <v>16.2</v>
      </c>
    </row>
    <row r="13">
      <c r="A13" s="9"/>
      <c r="B13" s="14" t="s">
        <v>33</v>
      </c>
      <c r="C13" s="15" t="s">
        <v>34</v>
      </c>
      <c r="D13" s="13">
        <v>14.0</v>
      </c>
      <c r="E13" s="13">
        <v>13.0</v>
      </c>
      <c r="F13" s="13">
        <v>12.0</v>
      </c>
      <c r="G13" s="13">
        <v>12.0</v>
      </c>
      <c r="H13" s="2">
        <v>11.4</v>
      </c>
    </row>
    <row r="14">
      <c r="A14" s="9"/>
      <c r="B14" s="14" t="s">
        <v>35</v>
      </c>
      <c r="C14" s="15" t="s">
        <v>36</v>
      </c>
      <c r="D14" s="13">
        <v>15.0</v>
      </c>
      <c r="E14" s="13">
        <v>14.0</v>
      </c>
      <c r="F14" s="13">
        <v>14.0</v>
      </c>
      <c r="G14" s="13">
        <v>16.0</v>
      </c>
      <c r="H14" s="2">
        <v>9.8</v>
      </c>
    </row>
    <row r="15">
      <c r="A15" s="9"/>
      <c r="B15" s="14" t="s">
        <v>38</v>
      </c>
      <c r="C15" s="15" t="s">
        <v>39</v>
      </c>
      <c r="D15" s="13">
        <v>18.0</v>
      </c>
      <c r="E15" s="13">
        <v>13.0</v>
      </c>
      <c r="F15" s="13">
        <v>13.0</v>
      </c>
      <c r="G15" s="13">
        <v>16.0</v>
      </c>
      <c r="H15" s="2">
        <v>10.8</v>
      </c>
    </row>
    <row r="16">
      <c r="A16" s="9"/>
      <c r="B16" s="14" t="s">
        <v>41</v>
      </c>
      <c r="C16" s="15" t="s">
        <v>42</v>
      </c>
      <c r="D16" s="13">
        <v>16.0</v>
      </c>
      <c r="E16" s="13">
        <v>13.0</v>
      </c>
      <c r="F16" s="13">
        <v>14.0</v>
      </c>
      <c r="G16" s="13">
        <v>15.0</v>
      </c>
      <c r="H16" s="2">
        <v>11.0</v>
      </c>
    </row>
    <row r="17">
      <c r="A17" s="9"/>
      <c r="B17" s="10" t="s">
        <v>43</v>
      </c>
      <c r="C17" s="11" t="s">
        <v>44</v>
      </c>
      <c r="D17" s="13">
        <v>12.0</v>
      </c>
      <c r="E17" s="13">
        <v>13.0</v>
      </c>
      <c r="F17" s="13">
        <v>12.0</v>
      </c>
      <c r="G17" s="13">
        <v>13.0</v>
      </c>
      <c r="H17" s="2">
        <v>11.4</v>
      </c>
    </row>
    <row r="18">
      <c r="A18" s="9"/>
      <c r="B18" s="10" t="s">
        <v>45</v>
      </c>
      <c r="C18" s="11" t="s">
        <v>46</v>
      </c>
      <c r="D18" s="13">
        <v>20.0</v>
      </c>
      <c r="E18" s="13">
        <v>19.0</v>
      </c>
      <c r="F18" s="13">
        <v>18.0</v>
      </c>
      <c r="G18" s="13">
        <v>20.0</v>
      </c>
      <c r="H18" s="2">
        <v>18.8</v>
      </c>
    </row>
    <row r="19">
      <c r="A19" s="9"/>
      <c r="B19" s="10" t="s">
        <v>47</v>
      </c>
      <c r="C19" s="11" t="s">
        <v>48</v>
      </c>
      <c r="D19" s="13">
        <v>12.0</v>
      </c>
      <c r="E19" s="13">
        <v>18.0</v>
      </c>
      <c r="F19" s="13">
        <v>16.0</v>
      </c>
      <c r="G19" s="13">
        <v>20.0</v>
      </c>
      <c r="H19" s="2">
        <v>10.4</v>
      </c>
    </row>
    <row r="20">
      <c r="A20" s="9"/>
      <c r="B20" s="10" t="s">
        <v>50</v>
      </c>
      <c r="C20" s="11" t="s">
        <v>51</v>
      </c>
      <c r="D20" s="13">
        <v>16.0</v>
      </c>
      <c r="E20" s="13">
        <v>18.0</v>
      </c>
      <c r="F20" s="13">
        <v>15.0</v>
      </c>
      <c r="G20" s="13">
        <v>17.0</v>
      </c>
      <c r="H20" s="2">
        <v>18.0</v>
      </c>
    </row>
    <row r="21">
      <c r="A21" s="9"/>
      <c r="B21" s="10" t="s">
        <v>52</v>
      </c>
      <c r="C21" s="11" t="s">
        <v>53</v>
      </c>
      <c r="D21" s="13">
        <v>15.0</v>
      </c>
      <c r="E21" s="13">
        <v>14.0</v>
      </c>
      <c r="F21" s="13">
        <v>13.0</v>
      </c>
      <c r="G21" s="13">
        <v>12.0</v>
      </c>
      <c r="H21" s="2">
        <v>10.0</v>
      </c>
    </row>
    <row r="22">
      <c r="A22" s="9"/>
      <c r="B22" s="14" t="s">
        <v>54</v>
      </c>
      <c r="C22" s="15" t="s">
        <v>55</v>
      </c>
      <c r="D22" s="13">
        <v>15.0</v>
      </c>
      <c r="E22" s="13">
        <v>16.0</v>
      </c>
      <c r="F22" s="13">
        <v>14.0</v>
      </c>
      <c r="G22" s="13">
        <v>17.0</v>
      </c>
      <c r="H22" s="2">
        <v>13.2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C1" s="1" t="s">
        <v>1</v>
      </c>
    </row>
    <row r="2">
      <c r="C2" s="1" t="s">
        <v>2</v>
      </c>
    </row>
    <row r="3">
      <c r="C3" s="1" t="s">
        <v>4</v>
      </c>
    </row>
    <row r="4">
      <c r="C4" s="1" t="s">
        <v>37</v>
      </c>
    </row>
    <row r="5">
      <c r="A5" s="2" t="s">
        <v>7</v>
      </c>
      <c r="B5" s="2" t="s">
        <v>8</v>
      </c>
      <c r="C5" s="2" t="s">
        <v>9</v>
      </c>
      <c r="D5" s="4" t="s">
        <v>10</v>
      </c>
      <c r="E5" s="4" t="s">
        <v>11</v>
      </c>
      <c r="F5" s="7" t="s">
        <v>12</v>
      </c>
      <c r="G5" s="8" t="s">
        <v>14</v>
      </c>
      <c r="H5" s="8" t="s">
        <v>15</v>
      </c>
    </row>
    <row r="6">
      <c r="A6" s="9"/>
      <c r="B6" s="10" t="s">
        <v>16</v>
      </c>
      <c r="C6" s="11" t="s">
        <v>17</v>
      </c>
      <c r="D6" s="12">
        <v>19.0</v>
      </c>
      <c r="E6" s="12">
        <v>20.0</v>
      </c>
      <c r="F6" s="12">
        <v>19.0</v>
      </c>
      <c r="G6" s="13">
        <v>19.0</v>
      </c>
      <c r="H6" s="2">
        <v>14.4</v>
      </c>
    </row>
    <row r="7">
      <c r="A7" s="9"/>
      <c r="B7" s="14" t="s">
        <v>19</v>
      </c>
      <c r="C7" s="15" t="s">
        <v>20</v>
      </c>
      <c r="D7" s="12">
        <v>16.0</v>
      </c>
      <c r="E7" s="12">
        <v>17.0</v>
      </c>
      <c r="F7" s="12">
        <v>15.0</v>
      </c>
      <c r="G7" s="13">
        <v>16.0</v>
      </c>
      <c r="H7" s="2">
        <v>15.4</v>
      </c>
    </row>
    <row r="8">
      <c r="A8" s="9"/>
      <c r="B8" s="14" t="s">
        <v>23</v>
      </c>
      <c r="C8" s="15" t="s">
        <v>24</v>
      </c>
      <c r="D8" s="13">
        <v>20.0</v>
      </c>
      <c r="E8" s="13">
        <v>20.0</v>
      </c>
      <c r="F8" s="13">
        <v>19.0</v>
      </c>
      <c r="G8" s="13">
        <v>20.0</v>
      </c>
      <c r="H8" s="2">
        <v>18.6</v>
      </c>
    </row>
    <row r="9">
      <c r="A9" s="9"/>
      <c r="B9" s="14" t="s">
        <v>25</v>
      </c>
      <c r="C9" s="15" t="s">
        <v>26</v>
      </c>
      <c r="D9" s="13">
        <v>14.0</v>
      </c>
      <c r="E9" s="13">
        <v>15.0</v>
      </c>
      <c r="F9" s="13">
        <v>15.0</v>
      </c>
      <c r="G9" s="13">
        <v>13.0</v>
      </c>
      <c r="H9" s="2">
        <v>12.6</v>
      </c>
    </row>
    <row r="10">
      <c r="A10" s="9"/>
      <c r="B10" s="14" t="s">
        <v>27</v>
      </c>
      <c r="C10" s="15" t="s">
        <v>28</v>
      </c>
      <c r="D10" s="13">
        <v>20.0</v>
      </c>
      <c r="E10" s="13">
        <v>20.0</v>
      </c>
      <c r="F10" s="13">
        <v>20.0</v>
      </c>
      <c r="G10" s="13">
        <v>18.0</v>
      </c>
      <c r="H10" s="2">
        <v>16.4</v>
      </c>
    </row>
    <row r="11">
      <c r="A11" s="9"/>
      <c r="B11" s="14" t="s">
        <v>29</v>
      </c>
      <c r="C11" s="15" t="s">
        <v>30</v>
      </c>
      <c r="D11" s="13">
        <v>15.0</v>
      </c>
      <c r="E11" s="13">
        <v>16.0</v>
      </c>
      <c r="F11" s="13">
        <v>16.0</v>
      </c>
      <c r="G11" s="13">
        <v>17.0</v>
      </c>
      <c r="H11" s="2">
        <v>17.2</v>
      </c>
    </row>
    <row r="12">
      <c r="A12" s="9"/>
      <c r="B12" s="14" t="s">
        <v>31</v>
      </c>
      <c r="C12" s="15" t="s">
        <v>32</v>
      </c>
      <c r="D12" s="13">
        <v>18.0</v>
      </c>
      <c r="E12" s="13">
        <v>19.0</v>
      </c>
      <c r="F12" s="13">
        <v>19.0</v>
      </c>
      <c r="G12" s="13">
        <v>17.0</v>
      </c>
      <c r="H12" s="2">
        <v>16.4</v>
      </c>
    </row>
    <row r="13">
      <c r="A13" s="9"/>
      <c r="B13" s="14" t="s">
        <v>33</v>
      </c>
      <c r="C13" s="15" t="s">
        <v>34</v>
      </c>
      <c r="D13" s="13">
        <v>13.0</v>
      </c>
      <c r="E13" s="13">
        <v>13.0</v>
      </c>
      <c r="F13" s="13">
        <v>11.0</v>
      </c>
      <c r="G13" s="13">
        <v>12.0</v>
      </c>
      <c r="H13" s="2">
        <v>13.0</v>
      </c>
    </row>
    <row r="14">
      <c r="A14" s="9"/>
      <c r="B14" s="14" t="s">
        <v>35</v>
      </c>
      <c r="C14" s="15" t="s">
        <v>36</v>
      </c>
      <c r="D14" s="13">
        <v>14.0</v>
      </c>
      <c r="E14" s="13">
        <v>15.0</v>
      </c>
      <c r="F14" s="13">
        <v>14.0</v>
      </c>
      <c r="G14" s="13">
        <v>15.0</v>
      </c>
      <c r="H14" s="2">
        <v>15.8</v>
      </c>
    </row>
    <row r="15">
      <c r="A15" s="9"/>
      <c r="B15" s="14" t="s">
        <v>38</v>
      </c>
      <c r="C15" s="15" t="s">
        <v>39</v>
      </c>
      <c r="D15" s="13">
        <v>16.0</v>
      </c>
      <c r="E15" s="13">
        <v>14.0</v>
      </c>
      <c r="F15" s="13">
        <v>12.0</v>
      </c>
      <c r="G15" s="13">
        <v>16.0</v>
      </c>
      <c r="H15" s="2">
        <v>10.0</v>
      </c>
    </row>
    <row r="16">
      <c r="A16" s="9"/>
      <c r="B16" s="14" t="s">
        <v>41</v>
      </c>
      <c r="C16" s="15" t="s">
        <v>42</v>
      </c>
      <c r="D16" s="13">
        <v>17.0</v>
      </c>
      <c r="E16" s="13">
        <v>15.0</v>
      </c>
      <c r="F16" s="13">
        <v>13.0</v>
      </c>
      <c r="G16" s="13">
        <v>16.0</v>
      </c>
      <c r="H16" s="2">
        <v>13.6</v>
      </c>
    </row>
    <row r="17">
      <c r="A17" s="9"/>
      <c r="B17" s="10" t="s">
        <v>43</v>
      </c>
      <c r="C17" s="11" t="s">
        <v>44</v>
      </c>
      <c r="D17" s="13">
        <v>12.0</v>
      </c>
      <c r="E17" s="13">
        <v>13.0</v>
      </c>
      <c r="F17" s="13">
        <v>12.0</v>
      </c>
      <c r="G17" s="13">
        <v>13.0</v>
      </c>
      <c r="H17" s="2">
        <v>15.0</v>
      </c>
    </row>
    <row r="18">
      <c r="A18" s="9"/>
      <c r="B18" s="10" t="s">
        <v>45</v>
      </c>
      <c r="C18" s="11" t="s">
        <v>46</v>
      </c>
      <c r="D18" s="13">
        <v>20.0</v>
      </c>
      <c r="E18" s="13">
        <v>20.0</v>
      </c>
      <c r="F18" s="13">
        <v>18.0</v>
      </c>
      <c r="G18" s="13">
        <v>20.0</v>
      </c>
      <c r="H18" s="2">
        <v>17.6</v>
      </c>
    </row>
    <row r="19">
      <c r="A19" s="9"/>
      <c r="B19" s="10" t="s">
        <v>47</v>
      </c>
      <c r="C19" s="11" t="s">
        <v>48</v>
      </c>
      <c r="D19" s="13">
        <v>10.0</v>
      </c>
      <c r="E19" s="13">
        <v>12.0</v>
      </c>
      <c r="F19" s="13">
        <v>16.0</v>
      </c>
      <c r="G19" s="13">
        <v>20.0</v>
      </c>
      <c r="H19" s="2">
        <v>8.8</v>
      </c>
    </row>
    <row r="20">
      <c r="A20" s="9"/>
      <c r="B20" s="10" t="s">
        <v>50</v>
      </c>
      <c r="C20" s="11" t="s">
        <v>51</v>
      </c>
      <c r="D20" s="13">
        <v>16.0</v>
      </c>
      <c r="E20" s="13">
        <v>18.0</v>
      </c>
      <c r="F20" s="13">
        <v>15.0</v>
      </c>
      <c r="G20" s="13">
        <v>18.0</v>
      </c>
      <c r="H20" s="2">
        <v>18.2</v>
      </c>
    </row>
    <row r="21">
      <c r="A21" s="9"/>
      <c r="B21" s="10" t="s">
        <v>52</v>
      </c>
      <c r="C21" s="11" t="s">
        <v>53</v>
      </c>
      <c r="D21" s="13">
        <v>12.0</v>
      </c>
      <c r="E21" s="13">
        <v>13.0</v>
      </c>
      <c r="F21" s="13">
        <v>13.0</v>
      </c>
      <c r="G21" s="13">
        <v>12.0</v>
      </c>
      <c r="H21" s="2">
        <v>11.4</v>
      </c>
    </row>
    <row r="22">
      <c r="A22" s="9"/>
      <c r="B22" s="14" t="s">
        <v>54</v>
      </c>
      <c r="C22" s="15" t="s">
        <v>55</v>
      </c>
      <c r="D22" s="13">
        <v>14.0</v>
      </c>
      <c r="E22" s="13">
        <v>15.0</v>
      </c>
      <c r="F22" s="13">
        <v>13.0</v>
      </c>
      <c r="G22" s="13">
        <v>15.0</v>
      </c>
      <c r="H22" s="2">
        <v>10.2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1"/>
      <c r="C1" s="1" t="s">
        <v>1</v>
      </c>
      <c r="E1" s="3"/>
      <c r="F1" s="5"/>
      <c r="G1" s="6"/>
      <c r="H1" s="6"/>
      <c r="I1" s="6"/>
      <c r="J1" s="6"/>
    </row>
    <row r="2">
      <c r="A2" s="1"/>
      <c r="B2" s="1"/>
      <c r="C2" s="1" t="s">
        <v>3</v>
      </c>
      <c r="E2" s="3"/>
      <c r="F2" s="5"/>
      <c r="G2" s="6"/>
      <c r="H2" s="6"/>
      <c r="I2" s="6"/>
      <c r="J2" s="6"/>
    </row>
    <row r="3">
      <c r="A3" s="1"/>
      <c r="B3" s="1"/>
      <c r="C3" s="1" t="s">
        <v>4</v>
      </c>
      <c r="E3" s="3"/>
      <c r="F3" s="5"/>
      <c r="G3" s="6"/>
      <c r="H3" s="6"/>
      <c r="I3" s="6"/>
      <c r="J3" s="6"/>
    </row>
    <row r="4">
      <c r="A4" s="1"/>
      <c r="B4" s="1"/>
      <c r="C4" s="1" t="s">
        <v>18</v>
      </c>
      <c r="E4" s="3"/>
      <c r="F4" s="5"/>
      <c r="G4" s="6"/>
      <c r="H4" s="6"/>
      <c r="I4" s="6"/>
      <c r="J4" s="6"/>
    </row>
    <row r="5">
      <c r="A5" s="2" t="s">
        <v>7</v>
      </c>
      <c r="B5" s="2" t="s">
        <v>8</v>
      </c>
      <c r="C5" s="2" t="s">
        <v>9</v>
      </c>
      <c r="D5" s="4" t="s">
        <v>10</v>
      </c>
      <c r="E5" s="4" t="s">
        <v>11</v>
      </c>
      <c r="F5" s="7" t="s">
        <v>12</v>
      </c>
      <c r="G5" s="8" t="s">
        <v>14</v>
      </c>
      <c r="H5" s="8" t="s">
        <v>15</v>
      </c>
      <c r="I5" s="6" t="s">
        <v>21</v>
      </c>
      <c r="J5" s="6" t="s">
        <v>22</v>
      </c>
    </row>
    <row r="6">
      <c r="A6" s="9"/>
      <c r="B6" s="10" t="s">
        <v>16</v>
      </c>
      <c r="C6" s="11" t="s">
        <v>17</v>
      </c>
      <c r="D6" s="12">
        <f>SUM(Sheet1!D6+Sheet2!D6)/2</f>
        <v>18.5</v>
      </c>
      <c r="E6" s="12">
        <f>SUM(Sheet1!E6+Sheet2!E6)/2</f>
        <v>20</v>
      </c>
      <c r="F6" s="12">
        <f>SUM(Sheet1!F6+Sheet2!F6)/2</f>
        <v>19</v>
      </c>
      <c r="G6" s="12">
        <f>SUM(Sheet1!G6+Sheet2!G6)/2</f>
        <v>19</v>
      </c>
      <c r="H6" s="12">
        <f>SUM(Sheet1!H6+Sheet2!H6)/2</f>
        <v>17</v>
      </c>
      <c r="I6" s="16">
        <f t="shared" ref="I6:I18" si="1">SUM(D10+E10+F10+G10+H10)</f>
        <v>94.3</v>
      </c>
      <c r="J6" s="1" t="s">
        <v>40</v>
      </c>
    </row>
    <row r="7">
      <c r="A7" s="9"/>
      <c r="B7" s="14" t="s">
        <v>19</v>
      </c>
      <c r="C7" s="15" t="s">
        <v>20</v>
      </c>
      <c r="D7" s="12">
        <f>SUM(Sheet1!D7+Sheet2!D7)/2</f>
        <v>16</v>
      </c>
      <c r="E7" s="12">
        <f>SUM(Sheet1!E7+Sheet2!E7)/2</f>
        <v>17.5</v>
      </c>
      <c r="F7" s="12">
        <f>SUM(Sheet1!F7+Sheet2!F7)/2</f>
        <v>14.5</v>
      </c>
      <c r="G7" s="12">
        <f>SUM(Sheet1!G7+Sheet2!G7)/2</f>
        <v>15.5</v>
      </c>
      <c r="H7" s="12">
        <f>SUM(Sheet1!H7+Sheet2!H7)/2</f>
        <v>14.9</v>
      </c>
      <c r="I7" s="16">
        <f t="shared" si="1"/>
        <v>77</v>
      </c>
      <c r="J7" s="1" t="s">
        <v>49</v>
      </c>
    </row>
    <row r="8">
      <c r="A8" s="9"/>
      <c r="B8" s="14" t="s">
        <v>23</v>
      </c>
      <c r="C8" s="15" t="s">
        <v>24</v>
      </c>
      <c r="D8" s="12">
        <f>SUM(Sheet1!D8+Sheet2!D8)/2</f>
        <v>19</v>
      </c>
      <c r="E8" s="12">
        <f>SUM(Sheet1!E8+Sheet2!E8)/2</f>
        <v>20</v>
      </c>
      <c r="F8" s="12">
        <f>SUM(Sheet1!F8+Sheet2!F8)/2</f>
        <v>19</v>
      </c>
      <c r="G8" s="12">
        <f>SUM(Sheet1!G8+Sheet2!G8)/2</f>
        <v>20</v>
      </c>
      <c r="H8" s="12">
        <f>SUM(Sheet1!H8+Sheet2!H8)/2</f>
        <v>19.2</v>
      </c>
      <c r="I8" s="16">
        <f t="shared" si="1"/>
        <v>89.8</v>
      </c>
      <c r="J8" s="1" t="s">
        <v>40</v>
      </c>
    </row>
    <row r="9">
      <c r="A9" s="9"/>
      <c r="B9" s="14" t="s">
        <v>25</v>
      </c>
      <c r="C9" s="15" t="s">
        <v>26</v>
      </c>
      <c r="D9" s="12">
        <f>SUM(Sheet1!D9+Sheet2!D9)/2</f>
        <v>15</v>
      </c>
      <c r="E9" s="12">
        <f>SUM(Sheet1!E9+Sheet2!E9)/2</f>
        <v>15</v>
      </c>
      <c r="F9" s="12">
        <f>SUM(Sheet1!F9+Sheet2!F9)/2</f>
        <v>15.5</v>
      </c>
      <c r="G9" s="12">
        <f>SUM(Sheet1!G9+Sheet2!G9)/2</f>
        <v>13.5</v>
      </c>
      <c r="H9" s="12">
        <f>SUM(Sheet1!H9+Sheet2!H9)/2</f>
        <v>11.7</v>
      </c>
      <c r="I9" s="16">
        <f t="shared" si="1"/>
        <v>62.2</v>
      </c>
      <c r="J9" s="1" t="s">
        <v>49</v>
      </c>
    </row>
    <row r="10">
      <c r="A10" s="9"/>
      <c r="B10" s="14" t="s">
        <v>27</v>
      </c>
      <c r="C10" s="15" t="s">
        <v>28</v>
      </c>
      <c r="D10" s="12">
        <f>SUM(Sheet1!D10+Sheet2!D10)/2</f>
        <v>20</v>
      </c>
      <c r="E10" s="12">
        <f>SUM(Sheet1!E10+Sheet2!E10)/2</f>
        <v>20</v>
      </c>
      <c r="F10" s="12">
        <f>SUM(Sheet1!F10+Sheet2!F10)/2</f>
        <v>19.5</v>
      </c>
      <c r="G10" s="12">
        <f>SUM(Sheet1!G10+Sheet2!G10)/2</f>
        <v>19</v>
      </c>
      <c r="H10" s="12">
        <f>SUM(Sheet1!H10+Sheet2!H10)/2</f>
        <v>15.8</v>
      </c>
      <c r="I10" s="16">
        <f t="shared" si="1"/>
        <v>71.3</v>
      </c>
      <c r="J10" s="1" t="s">
        <v>49</v>
      </c>
    </row>
    <row r="11">
      <c r="A11" s="9"/>
      <c r="B11" s="14" t="s">
        <v>29</v>
      </c>
      <c r="C11" s="15" t="s">
        <v>30</v>
      </c>
      <c r="D11" s="12">
        <f>SUM(Sheet1!D11+Sheet2!D11)/2</f>
        <v>15</v>
      </c>
      <c r="E11" s="12">
        <f>SUM(Sheet1!E11+Sheet2!E11)/2</f>
        <v>15</v>
      </c>
      <c r="F11" s="12">
        <f>SUM(Sheet1!F11+Sheet2!F11)/2</f>
        <v>15.5</v>
      </c>
      <c r="G11" s="12">
        <f>SUM(Sheet1!G11+Sheet2!G11)/2</f>
        <v>16</v>
      </c>
      <c r="H11" s="12">
        <f>SUM(Sheet1!H11+Sheet2!H11)/2</f>
        <v>15.5</v>
      </c>
      <c r="I11" s="16">
        <f t="shared" si="1"/>
        <v>69.4</v>
      </c>
      <c r="J11" s="1" t="s">
        <v>49</v>
      </c>
    </row>
    <row r="12">
      <c r="A12" s="9"/>
      <c r="B12" s="14" t="s">
        <v>31</v>
      </c>
      <c r="C12" s="15" t="s">
        <v>32</v>
      </c>
      <c r="D12" s="12">
        <f>SUM(Sheet1!D12+Sheet2!D12)/2</f>
        <v>19</v>
      </c>
      <c r="E12" s="12">
        <f>SUM(Sheet1!E12+Sheet2!E12)/2</f>
        <v>19</v>
      </c>
      <c r="F12" s="12">
        <f>SUM(Sheet1!F12+Sheet2!F12)/2</f>
        <v>18.5</v>
      </c>
      <c r="G12" s="12">
        <f>SUM(Sheet1!G12+Sheet2!G12)/2</f>
        <v>17</v>
      </c>
      <c r="H12" s="12">
        <f>SUM(Sheet1!H12+Sheet2!H12)/2</f>
        <v>16.3</v>
      </c>
      <c r="I12" s="16">
        <f t="shared" si="1"/>
        <v>71.8</v>
      </c>
      <c r="J12" s="1" t="s">
        <v>49</v>
      </c>
    </row>
    <row r="13">
      <c r="A13" s="9"/>
      <c r="B13" s="14" t="s">
        <v>33</v>
      </c>
      <c r="C13" s="15" t="s">
        <v>34</v>
      </c>
      <c r="D13" s="12">
        <f>SUM(Sheet1!D13+Sheet2!D13)/2</f>
        <v>13.5</v>
      </c>
      <c r="E13" s="12">
        <f>SUM(Sheet1!E13+Sheet2!E13)/2</f>
        <v>13</v>
      </c>
      <c r="F13" s="12">
        <f>SUM(Sheet1!F13+Sheet2!F13)/2</f>
        <v>11.5</v>
      </c>
      <c r="G13" s="12">
        <f>SUM(Sheet1!G13+Sheet2!G13)/2</f>
        <v>12</v>
      </c>
      <c r="H13" s="12">
        <f>SUM(Sheet1!H13+Sheet2!H13)/2</f>
        <v>12.2</v>
      </c>
      <c r="I13" s="16">
        <f t="shared" si="1"/>
        <v>63.2</v>
      </c>
      <c r="J13" s="1" t="s">
        <v>49</v>
      </c>
    </row>
    <row r="14">
      <c r="A14" s="9"/>
      <c r="B14" s="14" t="s">
        <v>35</v>
      </c>
      <c r="C14" s="15" t="s">
        <v>36</v>
      </c>
      <c r="D14" s="12">
        <f>SUM(Sheet1!D14+Sheet2!D14)/2</f>
        <v>14.5</v>
      </c>
      <c r="E14" s="12">
        <f>SUM(Sheet1!E14+Sheet2!E14)/2</f>
        <v>14.5</v>
      </c>
      <c r="F14" s="12">
        <f>SUM(Sheet1!F14+Sheet2!F14)/2</f>
        <v>14</v>
      </c>
      <c r="G14" s="12">
        <f>SUM(Sheet1!G14+Sheet2!G14)/2</f>
        <v>15.5</v>
      </c>
      <c r="H14" s="12">
        <f>SUM(Sheet1!H14+Sheet2!H14)/2</f>
        <v>12.8</v>
      </c>
      <c r="I14" s="16">
        <f t="shared" si="1"/>
        <v>95.7</v>
      </c>
      <c r="J14" s="1" t="s">
        <v>40</v>
      </c>
    </row>
    <row r="15">
      <c r="A15" s="9"/>
      <c r="B15" s="14" t="s">
        <v>38</v>
      </c>
      <c r="C15" s="15" t="s">
        <v>39</v>
      </c>
      <c r="D15" s="12">
        <f>SUM(Sheet1!D15+Sheet2!D15)/2</f>
        <v>17</v>
      </c>
      <c r="E15" s="12">
        <f>SUM(Sheet1!E15+Sheet2!E15)/2</f>
        <v>13.5</v>
      </c>
      <c r="F15" s="12">
        <f>SUM(Sheet1!F15+Sheet2!F15)/2</f>
        <v>12.5</v>
      </c>
      <c r="G15" s="12">
        <f>SUM(Sheet1!G15+Sheet2!G15)/2</f>
        <v>16</v>
      </c>
      <c r="H15" s="12">
        <f>SUM(Sheet1!H15+Sheet2!H15)/2</f>
        <v>10.4</v>
      </c>
      <c r="I15" s="16">
        <f t="shared" si="1"/>
        <v>71.6</v>
      </c>
      <c r="J15" s="1" t="s">
        <v>49</v>
      </c>
    </row>
    <row r="16">
      <c r="A16" s="9"/>
      <c r="B16" s="14" t="s">
        <v>41</v>
      </c>
      <c r="C16" s="15" t="s">
        <v>42</v>
      </c>
      <c r="D16" s="12">
        <f>SUM(Sheet1!D16+Sheet2!D16)/2</f>
        <v>16.5</v>
      </c>
      <c r="E16" s="12">
        <f>SUM(Sheet1!E16+Sheet2!E16)/2</f>
        <v>14</v>
      </c>
      <c r="F16" s="12">
        <f>SUM(Sheet1!F16+Sheet2!F16)/2</f>
        <v>13.5</v>
      </c>
      <c r="G16" s="12">
        <f>SUM(Sheet1!G16+Sheet2!G16)/2</f>
        <v>15.5</v>
      </c>
      <c r="H16" s="12">
        <f>SUM(Sheet1!H16+Sheet2!H16)/2</f>
        <v>12.3</v>
      </c>
      <c r="I16" s="16">
        <f t="shared" si="1"/>
        <v>84.6</v>
      </c>
      <c r="J16" s="1" t="s">
        <v>40</v>
      </c>
    </row>
    <row r="17">
      <c r="A17" s="9"/>
      <c r="B17" s="10" t="s">
        <v>43</v>
      </c>
      <c r="C17" s="11" t="s">
        <v>44</v>
      </c>
      <c r="D17" s="12">
        <f>SUM(Sheet1!D17+Sheet2!D17)/2</f>
        <v>12</v>
      </c>
      <c r="E17" s="12">
        <f>SUM(Sheet1!E17+Sheet2!E17)/2</f>
        <v>13</v>
      </c>
      <c r="F17" s="12">
        <f>SUM(Sheet1!F17+Sheet2!F17)/2</f>
        <v>12</v>
      </c>
      <c r="G17" s="12">
        <f>SUM(Sheet1!G17+Sheet2!G17)/2</f>
        <v>13</v>
      </c>
      <c r="H17" s="12">
        <f>SUM(Sheet1!H17+Sheet2!H17)/2</f>
        <v>13.2</v>
      </c>
      <c r="I17" s="16">
        <f t="shared" si="1"/>
        <v>62.7</v>
      </c>
      <c r="J17" s="1" t="s">
        <v>49</v>
      </c>
    </row>
    <row r="18">
      <c r="A18" s="9"/>
      <c r="B18" s="10" t="s">
        <v>45</v>
      </c>
      <c r="C18" s="11" t="s">
        <v>46</v>
      </c>
      <c r="D18" s="12">
        <f>SUM(Sheet1!D18+Sheet2!D18)/2</f>
        <v>20</v>
      </c>
      <c r="E18" s="12">
        <f>SUM(Sheet1!E18+Sheet2!E18)/2</f>
        <v>19.5</v>
      </c>
      <c r="F18" s="12">
        <f>SUM(Sheet1!F18+Sheet2!F18)/2</f>
        <v>18</v>
      </c>
      <c r="G18" s="12">
        <f>SUM(Sheet1!G18+Sheet2!G18)/2</f>
        <v>20</v>
      </c>
      <c r="H18" s="12">
        <f>SUM(Sheet1!H18+Sheet2!H18)/2</f>
        <v>18.2</v>
      </c>
      <c r="I18" s="16">
        <f t="shared" si="1"/>
        <v>71.2</v>
      </c>
      <c r="J18" s="1" t="s">
        <v>49</v>
      </c>
    </row>
    <row r="19">
      <c r="A19" s="9"/>
      <c r="B19" s="10" t="s">
        <v>47</v>
      </c>
      <c r="C19" s="11" t="s">
        <v>48</v>
      </c>
      <c r="D19" s="12">
        <f>SUM(Sheet1!D19+Sheet2!D19)/2</f>
        <v>11</v>
      </c>
      <c r="E19" s="12">
        <f>SUM(Sheet1!E19+Sheet2!E19)/2</f>
        <v>15</v>
      </c>
      <c r="F19" s="12">
        <f>SUM(Sheet1!F19+Sheet2!F19)/2</f>
        <v>16</v>
      </c>
      <c r="G19" s="12">
        <f>SUM(Sheet1!G19+Sheet2!G19)/2</f>
        <v>20</v>
      </c>
      <c r="H19" s="12">
        <f>SUM(Sheet1!H19+Sheet2!H19)/2</f>
        <v>9.6</v>
      </c>
      <c r="I19" s="16">
        <f t="shared" ref="I19:I22" si="2">SUM(D19+E19+F19+G19+H19)</f>
        <v>71.6</v>
      </c>
      <c r="J19" s="1" t="s">
        <v>49</v>
      </c>
    </row>
    <row r="20">
      <c r="A20" s="9"/>
      <c r="B20" s="10" t="s">
        <v>50</v>
      </c>
      <c r="C20" s="11" t="s">
        <v>51</v>
      </c>
      <c r="D20" s="12">
        <f>SUM(Sheet1!D20+Sheet2!D20)/2</f>
        <v>16</v>
      </c>
      <c r="E20" s="12">
        <f>SUM(Sheet1!E20+Sheet2!E20)/2</f>
        <v>18</v>
      </c>
      <c r="F20" s="12">
        <f>SUM(Sheet1!F20+Sheet2!F20)/2</f>
        <v>15</v>
      </c>
      <c r="G20" s="12">
        <f>SUM(Sheet1!G20+Sheet2!G20)/2</f>
        <v>17.5</v>
      </c>
      <c r="H20" s="12">
        <f>SUM(Sheet1!H20+Sheet2!H20)/2</f>
        <v>18.1</v>
      </c>
      <c r="I20" s="16">
        <f t="shared" si="2"/>
        <v>84.6</v>
      </c>
      <c r="J20" s="1" t="s">
        <v>49</v>
      </c>
    </row>
    <row r="21">
      <c r="A21" s="9"/>
      <c r="B21" s="10" t="s">
        <v>52</v>
      </c>
      <c r="C21" s="11" t="s">
        <v>53</v>
      </c>
      <c r="D21" s="12">
        <f>SUM(Sheet1!D21+Sheet2!D21)/2</f>
        <v>13.5</v>
      </c>
      <c r="E21" s="12">
        <f>SUM(Sheet1!E21+Sheet2!E21)/2</f>
        <v>13.5</v>
      </c>
      <c r="F21" s="12">
        <f>SUM(Sheet1!F21+Sheet2!F21)/2</f>
        <v>13</v>
      </c>
      <c r="G21" s="12">
        <f>SUM(Sheet1!G21+Sheet2!G21)/2</f>
        <v>12</v>
      </c>
      <c r="H21" s="12">
        <f>SUM(Sheet1!H21+Sheet2!H21)/2</f>
        <v>10.7</v>
      </c>
      <c r="I21" s="16">
        <f t="shared" si="2"/>
        <v>62.7</v>
      </c>
      <c r="J21" s="1" t="s">
        <v>49</v>
      </c>
    </row>
    <row r="22">
      <c r="A22" s="9"/>
      <c r="B22" s="14" t="s">
        <v>54</v>
      </c>
      <c r="C22" s="15" t="s">
        <v>55</v>
      </c>
      <c r="D22" s="12">
        <f>SUM(Sheet1!D22+Sheet2!D22)/2</f>
        <v>14.5</v>
      </c>
      <c r="E22" s="12">
        <f>SUM(Sheet1!E22+Sheet2!E22)/2</f>
        <v>15.5</v>
      </c>
      <c r="F22" s="12">
        <f>SUM(Sheet1!F22+Sheet2!F22)/2</f>
        <v>13.5</v>
      </c>
      <c r="G22" s="12">
        <f>SUM(Sheet1!G22+Sheet2!G22)/2</f>
        <v>16</v>
      </c>
      <c r="H22" s="12">
        <f>SUM(Sheet1!H22+Sheet2!H22)/2</f>
        <v>11.7</v>
      </c>
      <c r="I22" s="16">
        <f t="shared" si="2"/>
        <v>71.2</v>
      </c>
      <c r="J22" s="1" t="s">
        <v>49</v>
      </c>
    </row>
    <row r="23">
      <c r="G23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C1" s="1" t="s">
        <v>1</v>
      </c>
    </row>
    <row r="2">
      <c r="C2" s="1" t="s">
        <v>3</v>
      </c>
    </row>
    <row r="3">
      <c r="C3" s="1" t="s">
        <v>4</v>
      </c>
    </row>
    <row r="4">
      <c r="C4" s="1" t="s">
        <v>6</v>
      </c>
    </row>
    <row r="5">
      <c r="A5" s="2" t="s">
        <v>7</v>
      </c>
      <c r="B5" s="2" t="s">
        <v>8</v>
      </c>
      <c r="C5" s="2" t="s">
        <v>9</v>
      </c>
      <c r="D5" s="4" t="s">
        <v>10</v>
      </c>
      <c r="E5" s="4" t="s">
        <v>11</v>
      </c>
      <c r="F5" s="7" t="s">
        <v>12</v>
      </c>
      <c r="G5" s="8" t="s">
        <v>14</v>
      </c>
      <c r="H5" s="8" t="s">
        <v>15</v>
      </c>
    </row>
    <row r="6">
      <c r="A6" s="9"/>
      <c r="B6" s="10" t="s">
        <v>16</v>
      </c>
      <c r="C6" s="11" t="s">
        <v>17</v>
      </c>
      <c r="D6" s="12">
        <v>19.0</v>
      </c>
      <c r="E6" s="12">
        <v>20.0</v>
      </c>
      <c r="F6" s="12">
        <v>19.0</v>
      </c>
      <c r="G6" s="13">
        <v>20.0</v>
      </c>
      <c r="H6" s="2">
        <v>19.8</v>
      </c>
    </row>
    <row r="7">
      <c r="A7" s="9"/>
      <c r="B7" s="14" t="s">
        <v>19</v>
      </c>
      <c r="C7" s="15" t="s">
        <v>20</v>
      </c>
      <c r="D7" s="12">
        <v>16.0</v>
      </c>
      <c r="E7" s="12">
        <v>18.0</v>
      </c>
      <c r="F7" s="12">
        <v>14.0</v>
      </c>
      <c r="G7" s="13">
        <v>15.0</v>
      </c>
      <c r="H7" s="2">
        <v>17.8</v>
      </c>
    </row>
    <row r="8">
      <c r="A8" s="9"/>
      <c r="B8" s="14" t="s">
        <v>23</v>
      </c>
      <c r="C8" s="15" t="s">
        <v>24</v>
      </c>
      <c r="D8" s="13">
        <v>18.0</v>
      </c>
      <c r="E8" s="13">
        <v>20.0</v>
      </c>
      <c r="F8" s="13">
        <v>19.0</v>
      </c>
      <c r="G8" s="13">
        <v>20.0</v>
      </c>
      <c r="H8" s="2">
        <v>20.0</v>
      </c>
    </row>
    <row r="9">
      <c r="A9" s="9"/>
      <c r="B9" s="14" t="s">
        <v>25</v>
      </c>
      <c r="C9" s="15" t="s">
        <v>26</v>
      </c>
      <c r="D9" s="13">
        <v>14.0</v>
      </c>
      <c r="E9" s="13">
        <v>15.0</v>
      </c>
      <c r="F9" s="13">
        <v>15.0</v>
      </c>
      <c r="G9" s="13">
        <v>11.0</v>
      </c>
      <c r="H9" s="2">
        <v>12.6</v>
      </c>
    </row>
    <row r="10">
      <c r="A10" s="9"/>
      <c r="B10" s="14" t="s">
        <v>27</v>
      </c>
      <c r="C10" s="15" t="s">
        <v>28</v>
      </c>
      <c r="D10" s="13">
        <v>20.0</v>
      </c>
      <c r="E10" s="13">
        <v>20.0</v>
      </c>
      <c r="F10" s="13">
        <v>20.0</v>
      </c>
      <c r="G10" s="13">
        <v>20.0</v>
      </c>
      <c r="H10" s="2">
        <v>19.2</v>
      </c>
    </row>
    <row r="11">
      <c r="A11" s="9"/>
      <c r="B11" s="14" t="s">
        <v>29</v>
      </c>
      <c r="C11" s="15" t="s">
        <v>30</v>
      </c>
      <c r="D11" s="13">
        <v>15.0</v>
      </c>
      <c r="E11" s="13">
        <v>16.0</v>
      </c>
      <c r="F11" s="13">
        <v>15.0</v>
      </c>
      <c r="G11" s="13">
        <v>18.0</v>
      </c>
      <c r="H11" s="2">
        <v>18.4</v>
      </c>
    </row>
    <row r="12">
      <c r="A12" s="9"/>
      <c r="B12" s="14" t="s">
        <v>31</v>
      </c>
      <c r="C12" s="15" t="s">
        <v>32</v>
      </c>
      <c r="D12" s="13">
        <v>20.0</v>
      </c>
      <c r="E12" s="13">
        <v>20.0</v>
      </c>
      <c r="F12" s="13">
        <v>18.0</v>
      </c>
      <c r="G12" s="13">
        <v>19.0</v>
      </c>
      <c r="H12" s="2">
        <v>19.2</v>
      </c>
    </row>
    <row r="13">
      <c r="A13" s="9"/>
      <c r="B13" s="14" t="s">
        <v>33</v>
      </c>
      <c r="C13" s="15" t="s">
        <v>34</v>
      </c>
      <c r="D13" s="13">
        <v>14.0</v>
      </c>
      <c r="E13" s="13">
        <v>17.0</v>
      </c>
      <c r="F13" s="13">
        <v>14.0</v>
      </c>
      <c r="G13" s="13">
        <v>18.0</v>
      </c>
      <c r="H13" s="2">
        <v>15.2</v>
      </c>
    </row>
    <row r="14">
      <c r="A14" s="9"/>
      <c r="B14" s="14" t="s">
        <v>35</v>
      </c>
      <c r="C14" s="15" t="s">
        <v>36</v>
      </c>
      <c r="D14" s="13">
        <v>17.0</v>
      </c>
      <c r="E14" s="13">
        <v>18.0</v>
      </c>
      <c r="F14" s="13">
        <v>15.0</v>
      </c>
      <c r="G14" s="13">
        <v>18.0</v>
      </c>
      <c r="H14" s="2">
        <v>17.0</v>
      </c>
    </row>
    <row r="15">
      <c r="A15" s="9"/>
      <c r="B15" s="14" t="s">
        <v>38</v>
      </c>
      <c r="C15" s="15" t="s">
        <v>39</v>
      </c>
      <c r="D15" s="13">
        <v>10.0</v>
      </c>
      <c r="E15" s="13">
        <v>13.0</v>
      </c>
      <c r="F15" s="13">
        <v>15.0</v>
      </c>
      <c r="G15" s="13">
        <v>13.0</v>
      </c>
      <c r="H15" s="2">
        <v>10.8</v>
      </c>
    </row>
    <row r="16">
      <c r="A16" s="9"/>
      <c r="B16" s="14" t="s">
        <v>41</v>
      </c>
      <c r="C16" s="15" t="s">
        <v>42</v>
      </c>
      <c r="D16" s="13">
        <v>16.0</v>
      </c>
      <c r="E16" s="13">
        <v>15.0</v>
      </c>
      <c r="F16" s="13">
        <v>13.0</v>
      </c>
      <c r="G16" s="13">
        <v>16.0</v>
      </c>
      <c r="H16" s="2">
        <v>16.4</v>
      </c>
    </row>
    <row r="17">
      <c r="A17" s="9"/>
      <c r="B17" s="10" t="s">
        <v>43</v>
      </c>
      <c r="C17" s="11" t="s">
        <v>44</v>
      </c>
      <c r="D17" s="13">
        <v>12.0</v>
      </c>
      <c r="E17" s="13">
        <v>13.0</v>
      </c>
      <c r="F17" s="13">
        <v>11.0</v>
      </c>
      <c r="G17" s="13">
        <v>13.0</v>
      </c>
      <c r="H17" s="2">
        <v>14.0</v>
      </c>
    </row>
    <row r="18">
      <c r="A18" s="9"/>
      <c r="B18" s="10" t="s">
        <v>45</v>
      </c>
      <c r="C18" s="11" t="s">
        <v>46</v>
      </c>
      <c r="D18" s="13">
        <v>20.0</v>
      </c>
      <c r="E18" s="13">
        <v>20.0</v>
      </c>
      <c r="F18" s="13">
        <v>20.0</v>
      </c>
      <c r="G18" s="13">
        <v>18.0</v>
      </c>
      <c r="H18" s="2">
        <v>19.4</v>
      </c>
    </row>
    <row r="19">
      <c r="A19" s="9"/>
      <c r="B19" s="10" t="s">
        <v>47</v>
      </c>
      <c r="C19" s="11" t="s">
        <v>48</v>
      </c>
      <c r="D19" s="13">
        <v>12.0</v>
      </c>
      <c r="E19" s="13">
        <v>18.0</v>
      </c>
      <c r="F19" s="13">
        <v>12.0</v>
      </c>
      <c r="G19" s="13">
        <v>14.0</v>
      </c>
      <c r="H19" s="2">
        <v>13.4</v>
      </c>
    </row>
    <row r="20">
      <c r="A20" s="9"/>
      <c r="B20" s="10" t="s">
        <v>50</v>
      </c>
      <c r="C20" s="11" t="s">
        <v>51</v>
      </c>
      <c r="D20" s="13">
        <v>15.0</v>
      </c>
      <c r="E20" s="13">
        <v>18.0</v>
      </c>
      <c r="F20" s="13">
        <v>14.0</v>
      </c>
      <c r="G20" s="13">
        <v>19.0</v>
      </c>
      <c r="H20" s="2">
        <v>20.0</v>
      </c>
    </row>
    <row r="21">
      <c r="A21" s="9"/>
      <c r="B21" s="10" t="s">
        <v>52</v>
      </c>
      <c r="C21" s="11" t="s">
        <v>53</v>
      </c>
      <c r="D21" s="13">
        <v>13.0</v>
      </c>
      <c r="E21" s="13">
        <v>14.0</v>
      </c>
      <c r="F21" s="13">
        <v>13.0</v>
      </c>
      <c r="G21" s="13">
        <v>12.0</v>
      </c>
      <c r="H21" s="2">
        <v>13.4</v>
      </c>
    </row>
    <row r="22">
      <c r="A22" s="9"/>
      <c r="B22" s="14" t="s">
        <v>54</v>
      </c>
      <c r="C22" s="15" t="s">
        <v>55</v>
      </c>
      <c r="D22" s="13">
        <v>15.0</v>
      </c>
      <c r="E22" s="13">
        <v>15.0</v>
      </c>
      <c r="F22" s="13">
        <v>14.0</v>
      </c>
      <c r="G22" s="13">
        <v>17.0</v>
      </c>
      <c r="H22" s="2">
        <v>13.2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14.75"/>
    <col customWidth="1" min="7" max="7" width="17.25"/>
  </cols>
  <sheetData>
    <row r="1">
      <c r="C1" s="1" t="s">
        <v>1</v>
      </c>
    </row>
    <row r="2">
      <c r="C2" s="1" t="s">
        <v>3</v>
      </c>
    </row>
    <row r="3">
      <c r="C3" s="1" t="s">
        <v>4</v>
      </c>
    </row>
    <row r="4">
      <c r="C4" s="1" t="s">
        <v>56</v>
      </c>
    </row>
    <row r="5">
      <c r="A5" s="2" t="s">
        <v>7</v>
      </c>
      <c r="B5" s="2" t="s">
        <v>8</v>
      </c>
      <c r="C5" s="2" t="s">
        <v>9</v>
      </c>
      <c r="D5" s="4" t="s">
        <v>10</v>
      </c>
      <c r="E5" s="4" t="s">
        <v>11</v>
      </c>
      <c r="F5" s="7" t="s">
        <v>12</v>
      </c>
      <c r="G5" s="8" t="s">
        <v>14</v>
      </c>
      <c r="H5" s="8" t="s">
        <v>15</v>
      </c>
    </row>
    <row r="6">
      <c r="A6" s="9"/>
      <c r="B6" s="10" t="s">
        <v>16</v>
      </c>
      <c r="C6" s="11" t="s">
        <v>17</v>
      </c>
      <c r="D6" s="12">
        <v>18.0</v>
      </c>
      <c r="E6" s="12">
        <v>20.0</v>
      </c>
      <c r="F6" s="12">
        <v>17.0</v>
      </c>
      <c r="G6" s="13">
        <v>19.0</v>
      </c>
      <c r="H6" s="13">
        <v>18.0</v>
      </c>
    </row>
    <row r="7">
      <c r="A7" s="9"/>
      <c r="B7" s="14" t="s">
        <v>19</v>
      </c>
      <c r="C7" s="15" t="s">
        <v>20</v>
      </c>
      <c r="D7" s="12">
        <v>17.0</v>
      </c>
      <c r="E7" s="12">
        <v>16.0</v>
      </c>
      <c r="F7" s="12">
        <v>14.0</v>
      </c>
      <c r="G7" s="13">
        <v>16.0</v>
      </c>
      <c r="H7" s="13">
        <v>16.2</v>
      </c>
    </row>
    <row r="8">
      <c r="A8" s="9"/>
      <c r="B8" s="14" t="s">
        <v>23</v>
      </c>
      <c r="C8" s="15" t="s">
        <v>24</v>
      </c>
      <c r="D8" s="13">
        <v>17.0</v>
      </c>
      <c r="E8" s="13">
        <v>20.0</v>
      </c>
      <c r="F8" s="13">
        <v>18.0</v>
      </c>
      <c r="G8" s="13">
        <v>20.0</v>
      </c>
      <c r="H8" s="13">
        <v>19.4</v>
      </c>
    </row>
    <row r="9">
      <c r="A9" s="9"/>
      <c r="B9" s="14" t="s">
        <v>25</v>
      </c>
      <c r="C9" s="15" t="s">
        <v>26</v>
      </c>
      <c r="D9" s="13">
        <v>17.0</v>
      </c>
      <c r="E9" s="13">
        <v>15.0</v>
      </c>
      <c r="F9" s="13">
        <v>15.0</v>
      </c>
      <c r="G9" s="13">
        <v>15.0</v>
      </c>
      <c r="H9" s="13">
        <v>10.4</v>
      </c>
    </row>
    <row r="10">
      <c r="A10" s="9"/>
      <c r="B10" s="14" t="s">
        <v>27</v>
      </c>
      <c r="C10" s="15" t="s">
        <v>28</v>
      </c>
      <c r="D10" s="13">
        <v>19.0</v>
      </c>
      <c r="E10" s="13">
        <v>20.0</v>
      </c>
      <c r="F10" s="13">
        <v>19.0</v>
      </c>
      <c r="G10" s="13">
        <v>20.0</v>
      </c>
      <c r="H10" s="13">
        <v>15.2</v>
      </c>
    </row>
    <row r="11">
      <c r="A11" s="9"/>
      <c r="B11" s="14" t="s">
        <v>29</v>
      </c>
      <c r="C11" s="15" t="s">
        <v>30</v>
      </c>
      <c r="D11" s="13">
        <v>16.0</v>
      </c>
      <c r="E11" s="13">
        <v>16.0</v>
      </c>
      <c r="F11" s="13">
        <v>17.0</v>
      </c>
      <c r="G11" s="13">
        <v>18.0</v>
      </c>
      <c r="H11" s="13">
        <v>17.2</v>
      </c>
    </row>
    <row r="12">
      <c r="A12" s="9"/>
      <c r="B12" s="14" t="s">
        <v>31</v>
      </c>
      <c r="C12" s="15" t="s">
        <v>32</v>
      </c>
      <c r="D12" s="13">
        <v>20.0</v>
      </c>
      <c r="E12" s="13">
        <v>19.0</v>
      </c>
      <c r="F12" s="13">
        <v>18.0</v>
      </c>
      <c r="G12" s="13">
        <v>18.0</v>
      </c>
      <c r="H12" s="13">
        <v>16.6</v>
      </c>
    </row>
    <row r="13">
      <c r="A13" s="9"/>
      <c r="B13" s="14" t="s">
        <v>33</v>
      </c>
      <c r="C13" s="15" t="s">
        <v>34</v>
      </c>
      <c r="D13" s="13">
        <v>15.0</v>
      </c>
      <c r="E13" s="13">
        <v>12.0</v>
      </c>
      <c r="F13" s="13">
        <v>13.0</v>
      </c>
      <c r="G13" s="13">
        <v>12.0</v>
      </c>
      <c r="H13" s="13">
        <v>9.0</v>
      </c>
    </row>
    <row r="14">
      <c r="A14" s="9"/>
      <c r="B14" s="14" t="s">
        <v>35</v>
      </c>
      <c r="C14" s="15" t="s">
        <v>36</v>
      </c>
      <c r="D14" s="13">
        <v>18.0</v>
      </c>
      <c r="E14" s="13">
        <v>16.0</v>
      </c>
      <c r="F14" s="13">
        <v>15.0</v>
      </c>
      <c r="G14" s="13">
        <v>18.0</v>
      </c>
      <c r="H14" s="13">
        <v>15.0</v>
      </c>
    </row>
    <row r="15">
      <c r="A15" s="9"/>
      <c r="B15" s="14" t="s">
        <v>38</v>
      </c>
      <c r="C15" s="15" t="s">
        <v>39</v>
      </c>
      <c r="D15" s="13">
        <v>18.0</v>
      </c>
      <c r="E15" s="13">
        <v>17.0</v>
      </c>
      <c r="F15" s="13">
        <v>13.0</v>
      </c>
      <c r="G15" s="13">
        <v>16.0</v>
      </c>
      <c r="H15" s="13">
        <v>12.4</v>
      </c>
    </row>
    <row r="16">
      <c r="A16" s="9"/>
      <c r="B16" s="14" t="s">
        <v>41</v>
      </c>
      <c r="C16" s="15" t="s">
        <v>42</v>
      </c>
      <c r="D16" s="13">
        <v>18.0</v>
      </c>
      <c r="E16" s="13">
        <v>13.0</v>
      </c>
      <c r="F16" s="13">
        <v>16.0</v>
      </c>
      <c r="G16" s="13">
        <v>15.0</v>
      </c>
      <c r="H16" s="13">
        <v>11.6</v>
      </c>
    </row>
    <row r="17">
      <c r="A17" s="9"/>
      <c r="B17" s="10" t="s">
        <v>43</v>
      </c>
      <c r="C17" s="11" t="s">
        <v>44</v>
      </c>
      <c r="D17" s="13">
        <v>15.0</v>
      </c>
      <c r="E17" s="13">
        <v>14.0</v>
      </c>
      <c r="F17" s="13">
        <v>14.0</v>
      </c>
      <c r="G17" s="13">
        <v>16.0</v>
      </c>
      <c r="H17" s="13">
        <v>13.8</v>
      </c>
    </row>
    <row r="18">
      <c r="A18" s="9"/>
      <c r="B18" s="10" t="s">
        <v>45</v>
      </c>
      <c r="C18" s="11" t="s">
        <v>46</v>
      </c>
      <c r="D18" s="13">
        <v>19.0</v>
      </c>
      <c r="E18" s="13">
        <v>18.0</v>
      </c>
      <c r="F18" s="13">
        <v>18.0</v>
      </c>
      <c r="G18" s="13">
        <v>20.0</v>
      </c>
      <c r="H18" s="13">
        <v>18.2</v>
      </c>
    </row>
    <row r="19">
      <c r="A19" s="9"/>
      <c r="B19" s="10" t="s">
        <v>47</v>
      </c>
      <c r="C19" s="11" t="s">
        <v>48</v>
      </c>
      <c r="D19" s="13">
        <v>18.0</v>
      </c>
      <c r="E19" s="13">
        <v>18.0</v>
      </c>
      <c r="F19" s="13">
        <v>16.0</v>
      </c>
      <c r="G19" s="13">
        <v>20.0</v>
      </c>
      <c r="H19" s="13">
        <v>16.2</v>
      </c>
    </row>
    <row r="20">
      <c r="A20" s="9"/>
      <c r="B20" s="10" t="s">
        <v>50</v>
      </c>
      <c r="C20" s="11" t="s">
        <v>51</v>
      </c>
      <c r="D20" s="13">
        <v>16.0</v>
      </c>
      <c r="E20" s="13">
        <v>18.0</v>
      </c>
      <c r="F20" s="13">
        <v>15.0</v>
      </c>
      <c r="G20" s="13">
        <v>16.0</v>
      </c>
      <c r="H20" s="13">
        <v>16.6</v>
      </c>
    </row>
    <row r="21">
      <c r="A21" s="9"/>
      <c r="B21" s="10" t="s">
        <v>52</v>
      </c>
      <c r="C21" s="11" t="s">
        <v>53</v>
      </c>
      <c r="D21" s="13">
        <v>14.0</v>
      </c>
      <c r="E21" s="13">
        <v>15.0</v>
      </c>
      <c r="F21" s="13">
        <v>14.0</v>
      </c>
      <c r="G21" s="13">
        <v>14.0</v>
      </c>
      <c r="H21" s="13">
        <v>13.8</v>
      </c>
    </row>
    <row r="22">
      <c r="A22" s="9"/>
      <c r="B22" s="14" t="s">
        <v>54</v>
      </c>
      <c r="C22" s="15" t="s">
        <v>55</v>
      </c>
      <c r="D22" s="13">
        <v>16.0</v>
      </c>
      <c r="E22" s="13">
        <v>15.0</v>
      </c>
      <c r="F22" s="13">
        <v>15.0</v>
      </c>
      <c r="G22" s="13">
        <v>17.0</v>
      </c>
      <c r="H22" s="13">
        <v>16.0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5" width="18.25"/>
  </cols>
  <sheetData>
    <row r="1">
      <c r="A1" s="1" t="s">
        <v>0</v>
      </c>
      <c r="C1" s="1" t="s">
        <v>1</v>
      </c>
    </row>
    <row r="2">
      <c r="C2" s="1" t="s">
        <v>3</v>
      </c>
    </row>
    <row r="3">
      <c r="C3" s="1" t="s">
        <v>4</v>
      </c>
    </row>
    <row r="4">
      <c r="C4" s="1" t="s">
        <v>57</v>
      </c>
    </row>
    <row r="5">
      <c r="A5" s="2" t="s">
        <v>7</v>
      </c>
      <c r="B5" s="2" t="s">
        <v>8</v>
      </c>
      <c r="C5" s="4" t="s">
        <v>9</v>
      </c>
      <c r="D5" s="4" t="s">
        <v>10</v>
      </c>
      <c r="E5" s="4" t="s">
        <v>11</v>
      </c>
      <c r="F5" s="7" t="s">
        <v>12</v>
      </c>
      <c r="G5" s="8" t="s">
        <v>14</v>
      </c>
      <c r="H5" s="8" t="s">
        <v>15</v>
      </c>
      <c r="I5" s="2"/>
    </row>
    <row r="6">
      <c r="A6" s="9"/>
      <c r="B6" s="10" t="s">
        <v>16</v>
      </c>
      <c r="C6" s="11" t="s">
        <v>17</v>
      </c>
      <c r="D6" s="12">
        <v>18.0</v>
      </c>
      <c r="E6" s="12">
        <v>20.0</v>
      </c>
      <c r="F6" s="12">
        <v>17.0</v>
      </c>
      <c r="G6" s="13">
        <v>19.0</v>
      </c>
      <c r="H6" s="2">
        <v>20.0</v>
      </c>
      <c r="I6" s="2"/>
    </row>
    <row r="7">
      <c r="A7" s="9"/>
      <c r="B7" s="14" t="s">
        <v>19</v>
      </c>
      <c r="C7" s="15" t="s">
        <v>20</v>
      </c>
      <c r="D7" s="12">
        <v>17.0</v>
      </c>
      <c r="E7" s="12">
        <v>16.0</v>
      </c>
      <c r="F7" s="12">
        <v>14.0</v>
      </c>
      <c r="G7" s="13">
        <v>16.0</v>
      </c>
      <c r="H7" s="2">
        <v>17.8</v>
      </c>
      <c r="I7" s="2"/>
    </row>
    <row r="8">
      <c r="A8" s="9"/>
      <c r="B8" s="14" t="s">
        <v>23</v>
      </c>
      <c r="C8" s="15" t="s">
        <v>24</v>
      </c>
      <c r="D8" s="13">
        <v>17.0</v>
      </c>
      <c r="E8" s="13">
        <v>20.0</v>
      </c>
      <c r="F8" s="13">
        <v>18.0</v>
      </c>
      <c r="G8" s="13">
        <v>20.0</v>
      </c>
      <c r="H8" s="2">
        <v>19.0</v>
      </c>
      <c r="I8" s="2"/>
    </row>
    <row r="9">
      <c r="A9" s="9"/>
      <c r="B9" s="14" t="s">
        <v>25</v>
      </c>
      <c r="C9" s="15" t="s">
        <v>26</v>
      </c>
      <c r="D9" s="13">
        <v>17.0</v>
      </c>
      <c r="E9" s="13">
        <v>15.0</v>
      </c>
      <c r="F9" s="13">
        <v>15.0</v>
      </c>
      <c r="G9" s="13">
        <v>15.0</v>
      </c>
      <c r="H9" s="2">
        <v>18.4</v>
      </c>
      <c r="I9" s="2"/>
    </row>
    <row r="10">
      <c r="A10" s="9"/>
      <c r="B10" s="14" t="s">
        <v>27</v>
      </c>
      <c r="C10" s="15" t="s">
        <v>28</v>
      </c>
      <c r="D10" s="13">
        <v>19.0</v>
      </c>
      <c r="E10" s="13">
        <v>20.0</v>
      </c>
      <c r="F10" s="13">
        <v>19.0</v>
      </c>
      <c r="G10" s="13">
        <v>20.0</v>
      </c>
      <c r="H10" s="2">
        <v>19.0</v>
      </c>
      <c r="I10" s="2"/>
    </row>
    <row r="11">
      <c r="A11" s="9"/>
      <c r="B11" s="14" t="s">
        <v>29</v>
      </c>
      <c r="C11" s="15" t="s">
        <v>30</v>
      </c>
      <c r="D11" s="13">
        <v>16.0</v>
      </c>
      <c r="E11" s="13">
        <v>16.0</v>
      </c>
      <c r="F11" s="13">
        <v>17.0</v>
      </c>
      <c r="G11" s="13">
        <v>18.0</v>
      </c>
      <c r="H11" s="2">
        <v>19.0</v>
      </c>
      <c r="I11" s="2"/>
    </row>
    <row r="12">
      <c r="A12" s="9"/>
      <c r="B12" s="14" t="s">
        <v>31</v>
      </c>
      <c r="C12" s="15" t="s">
        <v>32</v>
      </c>
      <c r="D12" s="13">
        <v>20.0</v>
      </c>
      <c r="E12" s="13">
        <v>19.0</v>
      </c>
      <c r="F12" s="13">
        <v>18.0</v>
      </c>
      <c r="G12" s="13">
        <v>18.0</v>
      </c>
      <c r="H12" s="2">
        <v>19.0</v>
      </c>
      <c r="I12" s="2"/>
    </row>
    <row r="13">
      <c r="A13" s="9"/>
      <c r="B13" s="14" t="s">
        <v>33</v>
      </c>
      <c r="C13" s="15" t="s">
        <v>34</v>
      </c>
      <c r="D13" s="13">
        <v>15.0</v>
      </c>
      <c r="E13" s="13">
        <v>12.0</v>
      </c>
      <c r="F13" s="13">
        <v>13.0</v>
      </c>
      <c r="G13" s="13">
        <v>12.0</v>
      </c>
      <c r="H13" s="2">
        <v>13.2</v>
      </c>
      <c r="I13" s="2"/>
    </row>
    <row r="14">
      <c r="A14" s="9"/>
      <c r="B14" s="14" t="s">
        <v>35</v>
      </c>
      <c r="C14" s="15" t="s">
        <v>36</v>
      </c>
      <c r="D14" s="13">
        <v>18.0</v>
      </c>
      <c r="E14" s="13">
        <v>16.0</v>
      </c>
      <c r="F14" s="13">
        <v>15.0</v>
      </c>
      <c r="G14" s="13">
        <v>18.0</v>
      </c>
      <c r="H14" s="2">
        <v>18.6</v>
      </c>
      <c r="I14" s="2"/>
    </row>
    <row r="15">
      <c r="A15" s="9"/>
      <c r="B15" s="14" t="s">
        <v>38</v>
      </c>
      <c r="C15" s="15" t="s">
        <v>39</v>
      </c>
      <c r="D15" s="13">
        <v>18.0</v>
      </c>
      <c r="E15" s="13">
        <v>17.0</v>
      </c>
      <c r="F15" s="13">
        <v>13.0</v>
      </c>
      <c r="G15" s="13">
        <v>16.0</v>
      </c>
      <c r="H15" s="2">
        <v>19.0</v>
      </c>
      <c r="I15" s="2"/>
    </row>
    <row r="16">
      <c r="A16" s="9"/>
      <c r="B16" s="14" t="s">
        <v>41</v>
      </c>
      <c r="C16" s="15" t="s">
        <v>42</v>
      </c>
      <c r="D16" s="13">
        <v>18.0</v>
      </c>
      <c r="E16" s="13">
        <v>13.0</v>
      </c>
      <c r="F16" s="13">
        <v>16.0</v>
      </c>
      <c r="G16" s="13">
        <v>15.0</v>
      </c>
      <c r="H16" s="2">
        <v>19.0</v>
      </c>
      <c r="I16" s="2"/>
    </row>
    <row r="17">
      <c r="A17" s="9"/>
      <c r="B17" s="10" t="s">
        <v>43</v>
      </c>
      <c r="C17" s="11" t="s">
        <v>44</v>
      </c>
      <c r="D17" s="13">
        <v>15.0</v>
      </c>
      <c r="E17" s="13">
        <v>14.0</v>
      </c>
      <c r="F17" s="13">
        <v>14.0</v>
      </c>
      <c r="G17" s="13">
        <v>16.0</v>
      </c>
      <c r="H17" s="2">
        <v>15.8</v>
      </c>
      <c r="I17" s="2"/>
    </row>
    <row r="18">
      <c r="A18" s="9"/>
      <c r="B18" s="10" t="s">
        <v>45</v>
      </c>
      <c r="C18" s="11" t="s">
        <v>46</v>
      </c>
      <c r="D18" s="13">
        <v>19.0</v>
      </c>
      <c r="E18" s="13">
        <v>18.0</v>
      </c>
      <c r="F18" s="13">
        <v>18.0</v>
      </c>
      <c r="G18" s="13">
        <v>20.0</v>
      </c>
      <c r="H18" s="2">
        <v>19.0</v>
      </c>
      <c r="I18" s="2"/>
    </row>
    <row r="19">
      <c r="A19" s="9"/>
      <c r="B19" s="10" t="s">
        <v>47</v>
      </c>
      <c r="C19" s="11" t="s">
        <v>48</v>
      </c>
      <c r="D19" s="13">
        <v>18.0</v>
      </c>
      <c r="E19" s="13">
        <v>18.0</v>
      </c>
      <c r="F19" s="13">
        <v>16.0</v>
      </c>
      <c r="G19" s="13">
        <v>20.0</v>
      </c>
      <c r="H19" s="2">
        <v>20.0</v>
      </c>
      <c r="I19" s="2"/>
    </row>
    <row r="20">
      <c r="A20" s="9"/>
      <c r="B20" s="10" t="s">
        <v>50</v>
      </c>
      <c r="C20" s="11" t="s">
        <v>51</v>
      </c>
      <c r="D20" s="13">
        <v>16.0</v>
      </c>
      <c r="E20" s="13">
        <v>18.0</v>
      </c>
      <c r="F20" s="13">
        <v>15.0</v>
      </c>
      <c r="G20" s="13">
        <v>16.0</v>
      </c>
      <c r="H20" s="2">
        <v>20.0</v>
      </c>
      <c r="I20" s="2"/>
    </row>
    <row r="21">
      <c r="A21" s="9"/>
      <c r="B21" s="10" t="s">
        <v>52</v>
      </c>
      <c r="C21" s="11" t="s">
        <v>53</v>
      </c>
      <c r="D21" s="13">
        <v>14.0</v>
      </c>
      <c r="E21" s="13">
        <v>15.0</v>
      </c>
      <c r="F21" s="13">
        <v>14.0</v>
      </c>
      <c r="G21" s="13">
        <v>14.0</v>
      </c>
      <c r="H21" s="2">
        <v>15.2</v>
      </c>
      <c r="I21" s="2"/>
    </row>
    <row r="22">
      <c r="A22" s="9"/>
      <c r="B22" s="14" t="s">
        <v>54</v>
      </c>
      <c r="C22" s="15" t="s">
        <v>55</v>
      </c>
      <c r="D22" s="13">
        <v>16.0</v>
      </c>
      <c r="E22" s="13">
        <v>15.0</v>
      </c>
      <c r="F22" s="13">
        <v>15.0</v>
      </c>
      <c r="G22" s="13">
        <v>17.0</v>
      </c>
      <c r="H22" s="2">
        <v>13.4</v>
      </c>
      <c r="I22" s="2">
        <v>13.4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5" width="18.25"/>
  </cols>
  <sheetData>
    <row r="1">
      <c r="A1" s="1" t="s">
        <v>0</v>
      </c>
      <c r="C1" s="1" t="s">
        <v>1</v>
      </c>
    </row>
    <row r="2">
      <c r="C2" s="1" t="s">
        <v>3</v>
      </c>
    </row>
    <row r="3">
      <c r="C3" s="1" t="s">
        <v>4</v>
      </c>
    </row>
    <row r="4">
      <c r="C4" s="1" t="s">
        <v>58</v>
      </c>
    </row>
    <row r="5">
      <c r="A5" s="2" t="s">
        <v>7</v>
      </c>
      <c r="B5" s="2" t="s">
        <v>8</v>
      </c>
      <c r="C5" s="4" t="s">
        <v>9</v>
      </c>
      <c r="D5" s="4" t="s">
        <v>10</v>
      </c>
      <c r="E5" s="4" t="s">
        <v>11</v>
      </c>
      <c r="F5" s="7" t="s">
        <v>12</v>
      </c>
      <c r="G5" s="8" t="s">
        <v>14</v>
      </c>
      <c r="H5" s="8" t="s">
        <v>15</v>
      </c>
      <c r="I5" s="2" t="s">
        <v>21</v>
      </c>
      <c r="J5" s="1" t="s">
        <v>59</v>
      </c>
    </row>
    <row r="6">
      <c r="A6" s="9"/>
      <c r="B6" s="10" t="s">
        <v>16</v>
      </c>
      <c r="C6" s="11" t="s">
        <v>17</v>
      </c>
      <c r="D6" s="12">
        <f>SUM(Sheet3!D6+Sheet4!D6+Sheet5!D6)/3</f>
        <v>18.33333333</v>
      </c>
      <c r="E6" s="12">
        <v>20.0</v>
      </c>
      <c r="F6" s="12">
        <v>17.0</v>
      </c>
      <c r="G6" s="13">
        <v>19.0</v>
      </c>
      <c r="H6" s="2">
        <v>20.0</v>
      </c>
      <c r="I6" s="2">
        <f t="shared" ref="I6:I22" si="1">SUM(D6+E6+F6+G6+H6)</f>
        <v>94.33333333</v>
      </c>
      <c r="J6" s="1" t="s">
        <v>40</v>
      </c>
    </row>
    <row r="7">
      <c r="A7" s="9"/>
      <c r="B7" s="14" t="s">
        <v>19</v>
      </c>
      <c r="C7" s="15" t="s">
        <v>20</v>
      </c>
      <c r="D7" s="12">
        <f>SUM(Sheet3!D7+Sheet4!D7+Sheet5!D7)/3</f>
        <v>16.66666667</v>
      </c>
      <c r="E7" s="12">
        <v>16.0</v>
      </c>
      <c r="F7" s="12">
        <v>14.0</v>
      </c>
      <c r="G7" s="13">
        <v>16.0</v>
      </c>
      <c r="H7" s="2">
        <v>17.8</v>
      </c>
      <c r="I7" s="2">
        <f t="shared" si="1"/>
        <v>80.46666667</v>
      </c>
      <c r="J7" s="1" t="s">
        <v>40</v>
      </c>
    </row>
    <row r="8">
      <c r="A8" s="9"/>
      <c r="B8" s="14" t="s">
        <v>23</v>
      </c>
      <c r="C8" s="15" t="s">
        <v>24</v>
      </c>
      <c r="D8" s="12">
        <f>SUM(Sheet3!D8+Sheet4!D8+Sheet5!D8)/3</f>
        <v>17.33333333</v>
      </c>
      <c r="E8" s="12">
        <f>SUM(Sheet3!E8+Sheet4!E8+Sheet5!E8)/3</f>
        <v>20</v>
      </c>
      <c r="F8" s="12">
        <f>SUM(Sheet3!F8+Sheet4!F8+Sheet5!F8)/3</f>
        <v>18.33333333</v>
      </c>
      <c r="G8" s="12">
        <f>SUM(Sheet3!G8+Sheet4!G8+Sheet5!G8)/3</f>
        <v>20</v>
      </c>
      <c r="H8" s="12">
        <f>SUM(Sheet3!H8+Sheet4!H8+Sheet5!H8)/3</f>
        <v>19.46666667</v>
      </c>
      <c r="I8" s="2">
        <f t="shared" si="1"/>
        <v>95.13333333</v>
      </c>
      <c r="J8" s="1" t="s">
        <v>40</v>
      </c>
    </row>
    <row r="9">
      <c r="A9" s="9"/>
      <c r="B9" s="14" t="s">
        <v>25</v>
      </c>
      <c r="C9" s="15" t="s">
        <v>26</v>
      </c>
      <c r="D9" s="12">
        <f>SUM(Sheet3!D9+Sheet4!D9+Sheet5!D9)/3</f>
        <v>16</v>
      </c>
      <c r="E9" s="12">
        <f>SUM(Sheet3!E9+Sheet4!E9+Sheet5!E9)/3</f>
        <v>15</v>
      </c>
      <c r="F9" s="12">
        <f>SUM(Sheet3!F9+Sheet4!F9+Sheet5!F9)/3</f>
        <v>15</v>
      </c>
      <c r="G9" s="12">
        <f>SUM(Sheet3!G9+Sheet4!G9+Sheet5!G9)/3</f>
        <v>13.66666667</v>
      </c>
      <c r="H9" s="12">
        <f>SUM(Sheet3!H9+Sheet4!H9+Sheet5!H9)/3</f>
        <v>13.8</v>
      </c>
      <c r="I9" s="2">
        <f t="shared" si="1"/>
        <v>73.46666667</v>
      </c>
      <c r="J9" s="1" t="s">
        <v>49</v>
      </c>
    </row>
    <row r="10">
      <c r="A10" s="9"/>
      <c r="B10" s="14" t="s">
        <v>27</v>
      </c>
      <c r="C10" s="15" t="s">
        <v>28</v>
      </c>
      <c r="D10" s="12">
        <f>SUM(Sheet3!D10+Sheet4!D10+Sheet5!D10)/3</f>
        <v>19.33333333</v>
      </c>
      <c r="E10" s="12">
        <f>SUM(Sheet3!E10+Sheet4!E10+Sheet5!E10)/3</f>
        <v>20</v>
      </c>
      <c r="F10" s="12">
        <f>SUM(Sheet3!F10+Sheet4!F10+Sheet5!F10)/3</f>
        <v>19.33333333</v>
      </c>
      <c r="G10" s="12">
        <f>SUM(Sheet3!G10+Sheet4!G10+Sheet5!G10)/3</f>
        <v>20</v>
      </c>
      <c r="H10" s="12">
        <f>SUM(Sheet3!H10+Sheet4!H10+Sheet5!H10)/3</f>
        <v>17.8</v>
      </c>
      <c r="I10" s="2">
        <f t="shared" si="1"/>
        <v>96.46666667</v>
      </c>
      <c r="J10" s="1" t="s">
        <v>40</v>
      </c>
    </row>
    <row r="11">
      <c r="A11" s="9"/>
      <c r="B11" s="14" t="s">
        <v>29</v>
      </c>
      <c r="C11" s="15" t="s">
        <v>30</v>
      </c>
      <c r="D11" s="12">
        <f>SUM(Sheet3!D11+Sheet4!D11+Sheet5!D11)/3</f>
        <v>15.66666667</v>
      </c>
      <c r="E11" s="12">
        <f>SUM(Sheet3!E11+Sheet4!E11+Sheet5!E11)/3</f>
        <v>16</v>
      </c>
      <c r="F11" s="12">
        <f>SUM(Sheet3!F11+Sheet4!F11+Sheet5!F11)/3</f>
        <v>16.33333333</v>
      </c>
      <c r="G11" s="12">
        <f>SUM(Sheet3!G11+Sheet4!G11+Sheet5!G11)/3</f>
        <v>18</v>
      </c>
      <c r="H11" s="12">
        <f>SUM(Sheet3!H11+Sheet4!H11+Sheet5!H11)/3</f>
        <v>18.2</v>
      </c>
      <c r="I11" s="2">
        <f t="shared" si="1"/>
        <v>84.2</v>
      </c>
      <c r="J11" s="1" t="s">
        <v>40</v>
      </c>
    </row>
    <row r="12">
      <c r="A12" s="9"/>
      <c r="B12" s="14" t="s">
        <v>31</v>
      </c>
      <c r="C12" s="15" t="s">
        <v>32</v>
      </c>
      <c r="D12" s="12">
        <f>SUM(Sheet3!D12+Sheet4!D12+Sheet5!D12)/3</f>
        <v>20</v>
      </c>
      <c r="E12" s="12">
        <f>SUM(Sheet3!E12+Sheet4!E12+Sheet5!E12)/3</f>
        <v>19.33333333</v>
      </c>
      <c r="F12" s="12">
        <f>SUM(Sheet3!F12+Sheet4!F12+Sheet5!F12)/3</f>
        <v>18</v>
      </c>
      <c r="G12" s="12">
        <f>SUM(Sheet3!G12+Sheet4!G12+Sheet5!G12)/3</f>
        <v>18.33333333</v>
      </c>
      <c r="H12" s="12">
        <f>SUM(Sheet3!H12+Sheet4!H12+Sheet5!H12)/3</f>
        <v>18.26666667</v>
      </c>
      <c r="I12" s="2">
        <f t="shared" si="1"/>
        <v>93.93333333</v>
      </c>
      <c r="J12" s="1" t="s">
        <v>40</v>
      </c>
    </row>
    <row r="13">
      <c r="A13" s="9"/>
      <c r="B13" s="14" t="s">
        <v>33</v>
      </c>
      <c r="C13" s="15" t="s">
        <v>34</v>
      </c>
      <c r="D13" s="12">
        <f>SUM(Sheet3!D13+Sheet4!D13+Sheet5!D13)/3</f>
        <v>14.66666667</v>
      </c>
      <c r="E13" s="12">
        <f>SUM(Sheet3!E13+Sheet4!E13+Sheet5!E13)/3</f>
        <v>13.66666667</v>
      </c>
      <c r="F13" s="12">
        <f>SUM(Sheet3!F13+Sheet4!F13+Sheet5!F13)/3</f>
        <v>13.33333333</v>
      </c>
      <c r="G13" s="12">
        <f>SUM(Sheet3!G13+Sheet4!G13+Sheet5!G13)/3</f>
        <v>14</v>
      </c>
      <c r="H13" s="12">
        <f>SUM(Sheet3!H13+Sheet4!H13+Sheet5!H13)/3</f>
        <v>12.46666667</v>
      </c>
      <c r="I13" s="2">
        <f t="shared" si="1"/>
        <v>68.13333333</v>
      </c>
      <c r="J13" s="1" t="s">
        <v>40</v>
      </c>
    </row>
    <row r="14">
      <c r="A14" s="9"/>
      <c r="B14" s="14" t="s">
        <v>35</v>
      </c>
      <c r="C14" s="15" t="s">
        <v>36</v>
      </c>
      <c r="D14" s="12">
        <f>SUM(Sheet3!D14+Sheet4!D14+Sheet5!D14)/3</f>
        <v>17.66666667</v>
      </c>
      <c r="E14" s="12">
        <f>SUM(Sheet3!E14+Sheet4!E14+Sheet5!E14)/3</f>
        <v>16.66666667</v>
      </c>
      <c r="F14" s="12">
        <f>SUM(Sheet3!F14+Sheet4!F14+Sheet5!F14)/3</f>
        <v>15</v>
      </c>
      <c r="G14" s="12">
        <f>SUM(Sheet3!G14+Sheet4!G14+Sheet5!G14)/3</f>
        <v>18</v>
      </c>
      <c r="H14" s="12">
        <f>SUM(Sheet3!H14+Sheet4!H14+Sheet5!H14)/3</f>
        <v>16.86666667</v>
      </c>
      <c r="I14" s="2">
        <f t="shared" si="1"/>
        <v>84.2</v>
      </c>
      <c r="J14" s="1" t="s">
        <v>40</v>
      </c>
    </row>
    <row r="15">
      <c r="A15" s="9"/>
      <c r="B15" s="14" t="s">
        <v>38</v>
      </c>
      <c r="C15" s="15" t="s">
        <v>39</v>
      </c>
      <c r="D15" s="12">
        <f>SUM(Sheet3!D15+Sheet4!D15+Sheet5!D15)/3</f>
        <v>15.33333333</v>
      </c>
      <c r="E15" s="12">
        <f>SUM(Sheet3!E15+Sheet4!E15+Sheet5!E15)/3</f>
        <v>15.66666667</v>
      </c>
      <c r="F15" s="12">
        <f>SUM(Sheet3!F15+Sheet4!F15+Sheet5!F15)/3</f>
        <v>13.66666667</v>
      </c>
      <c r="G15" s="12">
        <f>SUM(Sheet3!G15+Sheet4!G15+Sheet5!G15)/3</f>
        <v>15</v>
      </c>
      <c r="H15" s="12">
        <f>SUM(Sheet3!H15+Sheet4!H15+Sheet5!H15)/3</f>
        <v>14.06666667</v>
      </c>
      <c r="I15" s="2">
        <f t="shared" si="1"/>
        <v>73.73333333</v>
      </c>
      <c r="J15" s="1" t="s">
        <v>49</v>
      </c>
    </row>
    <row r="16">
      <c r="A16" s="9"/>
      <c r="B16" s="14" t="s">
        <v>41</v>
      </c>
      <c r="C16" s="15" t="s">
        <v>42</v>
      </c>
      <c r="D16" s="12">
        <f>SUM(Sheet3!D16+Sheet4!D16+Sheet5!D16)/3</f>
        <v>17.33333333</v>
      </c>
      <c r="E16" s="12">
        <f>SUM(Sheet3!E16+Sheet4!E16+Sheet5!E16)/3</f>
        <v>13.66666667</v>
      </c>
      <c r="F16" s="12">
        <f>SUM(Sheet3!F16+Sheet4!F16+Sheet5!F16)/3</f>
        <v>15</v>
      </c>
      <c r="G16" s="12">
        <f>SUM(Sheet3!G16+Sheet4!G16+Sheet5!G16)/3</f>
        <v>15.33333333</v>
      </c>
      <c r="H16" s="12">
        <f>SUM(Sheet3!H16+Sheet4!H16+Sheet5!H16)/3</f>
        <v>15.66666667</v>
      </c>
      <c r="I16" s="2">
        <f t="shared" si="1"/>
        <v>77</v>
      </c>
      <c r="J16" s="1" t="s">
        <v>49</v>
      </c>
    </row>
    <row r="17">
      <c r="A17" s="9"/>
      <c r="B17" s="10" t="s">
        <v>43</v>
      </c>
      <c r="C17" s="11" t="s">
        <v>44</v>
      </c>
      <c r="D17" s="12">
        <f>SUM(Sheet3!D17+Sheet4!D17+Sheet5!D17)/3</f>
        <v>14</v>
      </c>
      <c r="E17" s="12">
        <f>SUM(Sheet3!E17+Sheet4!E17+Sheet5!E17)/3</f>
        <v>13.66666667</v>
      </c>
      <c r="F17" s="12">
        <f>SUM(Sheet3!F17+Sheet4!F17+Sheet5!F17)/3</f>
        <v>13</v>
      </c>
      <c r="G17" s="12">
        <f>SUM(Sheet3!G17+Sheet4!G17+Sheet5!G17)/3</f>
        <v>15</v>
      </c>
      <c r="H17" s="12">
        <f>SUM(Sheet3!H17+Sheet4!H17+Sheet5!H17)/3</f>
        <v>14.53333333</v>
      </c>
      <c r="I17" s="2">
        <f t="shared" si="1"/>
        <v>70.2</v>
      </c>
      <c r="J17" s="1" t="s">
        <v>49</v>
      </c>
    </row>
    <row r="18">
      <c r="A18" s="9"/>
      <c r="B18" s="10" t="s">
        <v>45</v>
      </c>
      <c r="C18" s="11" t="s">
        <v>46</v>
      </c>
      <c r="D18" s="12">
        <f>SUM(Sheet3!D18+Sheet4!D18+Sheet5!D18)/3</f>
        <v>19.33333333</v>
      </c>
      <c r="E18" s="12">
        <f>SUM(Sheet3!E18+Sheet4!E18+Sheet5!E18)/3</f>
        <v>18.66666667</v>
      </c>
      <c r="F18" s="12">
        <f>SUM(Sheet3!F18+Sheet4!F18+Sheet5!F18)/3</f>
        <v>18.66666667</v>
      </c>
      <c r="G18" s="12">
        <f>SUM(Sheet3!G18+Sheet4!G18+Sheet5!G18)/3</f>
        <v>19.33333333</v>
      </c>
      <c r="H18" s="12">
        <f>SUM(Sheet3!H18+Sheet4!H18+Sheet5!H18)/3</f>
        <v>18.86666667</v>
      </c>
      <c r="I18" s="2">
        <f t="shared" si="1"/>
        <v>94.86666667</v>
      </c>
      <c r="J18" s="1" t="s">
        <v>40</v>
      </c>
    </row>
    <row r="19">
      <c r="A19" s="9"/>
      <c r="B19" s="10" t="s">
        <v>47</v>
      </c>
      <c r="C19" s="11" t="s">
        <v>48</v>
      </c>
      <c r="D19" s="12">
        <f>SUM(Sheet3!D19+Sheet4!D19+Sheet5!D19)/3</f>
        <v>16</v>
      </c>
      <c r="E19" s="12">
        <f>SUM(Sheet3!E19+Sheet4!E19+Sheet5!E19)/3</f>
        <v>18</v>
      </c>
      <c r="F19" s="12">
        <f>SUM(Sheet3!F19+Sheet4!F19+Sheet5!F19)/3</f>
        <v>14.66666667</v>
      </c>
      <c r="G19" s="12">
        <f>SUM(Sheet3!G19+Sheet4!G19+Sheet5!G19)/3</f>
        <v>18</v>
      </c>
      <c r="H19" s="12">
        <f>SUM(Sheet3!H19+Sheet4!H19+Sheet5!H19)/3</f>
        <v>16.53333333</v>
      </c>
      <c r="I19" s="2">
        <f t="shared" si="1"/>
        <v>83.2</v>
      </c>
      <c r="J19" s="1" t="s">
        <v>40</v>
      </c>
    </row>
    <row r="20">
      <c r="A20" s="9"/>
      <c r="B20" s="10" t="s">
        <v>50</v>
      </c>
      <c r="C20" s="11" t="s">
        <v>51</v>
      </c>
      <c r="D20" s="12">
        <f>SUM(Sheet3!D20+Sheet4!D20+Sheet5!D20)/3</f>
        <v>15.66666667</v>
      </c>
      <c r="E20" s="12">
        <f>SUM(Sheet3!E20+Sheet4!E20+Sheet5!E20)/3</f>
        <v>18</v>
      </c>
      <c r="F20" s="12">
        <f>SUM(Sheet3!F20+Sheet4!F20+Sheet5!F20)/3</f>
        <v>14.66666667</v>
      </c>
      <c r="G20" s="12">
        <f>SUM(Sheet3!G20+Sheet4!G20+Sheet5!G20)/3</f>
        <v>17</v>
      </c>
      <c r="H20" s="12">
        <f>SUM(Sheet3!H20+Sheet4!H20+Sheet5!H20)/3</f>
        <v>18.86666667</v>
      </c>
      <c r="I20" s="2">
        <f t="shared" si="1"/>
        <v>84.2</v>
      </c>
      <c r="J20" s="1" t="s">
        <v>40</v>
      </c>
    </row>
    <row r="21">
      <c r="A21" s="9"/>
      <c r="B21" s="10" t="s">
        <v>52</v>
      </c>
      <c r="C21" s="11" t="s">
        <v>53</v>
      </c>
      <c r="D21" s="12">
        <f>SUM(Sheet3!D21+Sheet4!D21+Sheet5!D21)/3</f>
        <v>13.66666667</v>
      </c>
      <c r="E21" s="12">
        <f>SUM(Sheet3!E21+Sheet4!E21+Sheet5!E21)/3</f>
        <v>14.66666667</v>
      </c>
      <c r="F21" s="12">
        <f>SUM(Sheet3!F21+Sheet4!F21+Sheet5!F21)/3</f>
        <v>13.66666667</v>
      </c>
      <c r="G21" s="12">
        <f>SUM(Sheet3!G21+Sheet4!G21+Sheet5!G21)/3</f>
        <v>13.33333333</v>
      </c>
      <c r="H21" s="12">
        <f>SUM(Sheet3!H21+Sheet4!H21+Sheet5!H21)/3</f>
        <v>14.13333333</v>
      </c>
      <c r="I21" s="2">
        <f t="shared" si="1"/>
        <v>69.46666667</v>
      </c>
      <c r="J21" s="1" t="s">
        <v>49</v>
      </c>
    </row>
    <row r="22">
      <c r="A22" s="9"/>
      <c r="B22" s="14" t="s">
        <v>54</v>
      </c>
      <c r="C22" s="15" t="s">
        <v>55</v>
      </c>
      <c r="D22" s="12">
        <f>ROUND(SUM(Sheet3!D22+Sheet4!D22+Sheet5!D22)/3,0)</f>
        <v>16</v>
      </c>
      <c r="E22" s="12">
        <f>SUM(Sheet3!E22+Sheet4!E22+Sheet5!E22)/3</f>
        <v>15</v>
      </c>
      <c r="F22" s="12">
        <f>SUM(Sheet3!F22+Sheet4!F22+Sheet5!F22)/3</f>
        <v>14.66666667</v>
      </c>
      <c r="G22" s="12">
        <f>SUM(Sheet3!G22+Sheet4!G22+Sheet5!G22)/3</f>
        <v>17</v>
      </c>
      <c r="H22" s="12">
        <f>SUM(Sheet3!H22+Sheet4!H22+Sheet5!H22)/3</f>
        <v>14.2</v>
      </c>
      <c r="I22" s="2">
        <f t="shared" si="1"/>
        <v>76.86666667</v>
      </c>
      <c r="J22" s="1" t="s">
        <v>49</v>
      </c>
    </row>
    <row r="23">
      <c r="D23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